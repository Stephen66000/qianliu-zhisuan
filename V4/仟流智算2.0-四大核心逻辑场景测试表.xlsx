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00" windowHeight="13360" tabRatio="600" firstSheet="0" activeTab="1" autoFilterDateGrouping="1"/>
  </bookViews>
  <sheets>
    <sheet xmlns:r="http://schemas.openxmlformats.org/officeDocument/2006/relationships" name="汇总看板" sheetId="1" state="visible" r:id="rId1"/>
    <sheet xmlns:r="http://schemas.openxmlformats.org/officeDocument/2006/relationships" name="测试总表" sheetId="2" state="visible" r:id="rId2"/>
    <sheet xmlns:r="http://schemas.openxmlformats.org/officeDocument/2006/relationships" name="测试说明" sheetId="3" state="visible" r:id="rId3"/>
  </sheets>
  <definedNames>
    <definedName name="_xlnm.Print_Area" localSheetId="0">'汇总看板'!$A$1:$J$21</definedName>
    <definedName name="_xlnm._FilterDatabase" localSheetId="1" hidden="1">'测试总表'!$A$4:$X$44</definedName>
    <definedName name="_xlnm.Print_Titles" localSheetId="1">'测试总表'!$1:$4</definedName>
    <definedName name="_xlnm.Print_Area" localSheetId="1">'测试总表'!$A$1:$X$44</definedName>
    <definedName name="_xlnm.Print_Area" localSheetId="2">'测试说明'!$A$1:$F$30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47">
    <font>
      <name val="宋体"/>
      <charset val="134"/>
      <color theme="1"/>
      <sz val="11"/>
      <scheme val="minor"/>
    </font>
    <font>
      <name val="Arial Unicode MS"/>
      <charset val="134"/>
      <b val="1"/>
      <color rgb="FFFFFFFF"/>
      <sz val="18"/>
    </font>
    <font>
      <name val="Arial Unicode MS"/>
      <charset val="134"/>
      <b val="1"/>
      <color rgb="FF2F6FCE"/>
      <sz val="11"/>
    </font>
    <font>
      <name val="Arial Unicode MS"/>
      <charset val="134"/>
      <b val="1"/>
      <color rgb="FFFFFFFF"/>
      <sz val="11"/>
    </font>
    <font>
      <name val="Arial Unicode MS"/>
      <charset val="134"/>
      <b val="1"/>
      <color rgb="FF267A3D"/>
      <sz val="11"/>
    </font>
    <font>
      <name val="Arial Unicode MS"/>
      <charset val="134"/>
      <b val="1"/>
      <color rgb="FFC7662B"/>
      <sz val="11"/>
    </font>
    <font>
      <name val="Arial Unicode MS"/>
      <charset val="134"/>
      <b val="1"/>
      <color rgb="FF6E56CF"/>
      <sz val="11"/>
    </font>
    <font>
      <name val="Arial Unicode MS"/>
      <charset val="134"/>
      <b val="1"/>
      <color rgb="FF172033"/>
      <sz val="13"/>
    </font>
    <font>
      <name val="Arial Unicode MS"/>
      <charset val="134"/>
      <b val="1"/>
      <color rgb="FF172033"/>
      <sz val="11"/>
    </font>
    <font>
      <name val="Arial Unicode MS"/>
      <charset val="134"/>
      <b val="1"/>
      <color rgb="FFC7352E"/>
      <sz val="11"/>
    </font>
    <font>
      <name val="宋体"/>
      <charset val="134"/>
      <color theme="10"/>
      <sz val="12"/>
      <scheme val="minor"/>
    </font>
    <font>
      <name val="Arial Unicode MS"/>
      <charset val="134"/>
      <color rgb="FF526175"/>
      <sz val="10"/>
    </font>
    <font>
      <name val="Arial Unicode MS"/>
      <charset val="134"/>
      <b val="1"/>
      <color rgb="FFC7352E"/>
      <sz val="10"/>
    </font>
    <font>
      <name val="Arial Unicode MS"/>
      <charset val="134"/>
      <b val="1"/>
      <color rgb="FFFFFFFF"/>
      <sz val="10"/>
    </font>
    <font>
      <name val="Arial Unicode MS"/>
      <charset val="134"/>
      <b val="1"/>
      <color rgb="FFFFFFFF"/>
      <sz val="9"/>
    </font>
    <font>
      <name val="Arial Unicode MS"/>
      <charset val="134"/>
      <b val="1"/>
      <color rgb="FF2F6FCE"/>
      <sz val="9"/>
    </font>
    <font>
      <name val="Arial Unicode MS"/>
      <charset val="134"/>
      <color rgb="FF172033"/>
      <sz val="9"/>
    </font>
    <font>
      <name val="Arial Unicode MS"/>
      <charset val="134"/>
      <color rgb="FF526175"/>
      <sz val="9"/>
    </font>
    <font>
      <name val="Arial Unicode MS"/>
      <charset val="134"/>
      <b val="1"/>
      <color rgb="FF267A3D"/>
      <sz val="9"/>
    </font>
    <font>
      <name val="Arial Unicode MS"/>
      <charset val="134"/>
      <b val="1"/>
      <color rgb="FFC7662B"/>
      <sz val="9"/>
    </font>
    <font>
      <name val="Arial Unicode MS"/>
      <charset val="134"/>
      <b val="1"/>
      <color rgb="FF6E56CF"/>
      <sz val="9"/>
    </font>
    <font>
      <name val="Arial Unicode MS"/>
      <charset val="134"/>
      <b val="1"/>
      <color rgb="FFFFFFFF"/>
      <sz val="20"/>
    </font>
    <font>
      <name val="Arial Unicode MS"/>
      <charset val="134"/>
      <color rgb="FF526175"/>
      <sz val="11"/>
    </font>
    <font>
      <name val="Arial Unicode MS"/>
      <charset val="134"/>
      <b val="1"/>
      <color rgb="FF526175"/>
      <sz val="10"/>
    </font>
    <font>
      <name val="Arial Unicode MS"/>
      <charset val="134"/>
      <b val="1"/>
      <color rgb="FF172033"/>
      <sz val="22"/>
    </font>
    <font>
      <name val="宋体"/>
      <charset val="134"/>
      <color theme="1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Arial Unicode MS"/>
      <charset val="134"/>
      <b val="1"/>
      <color rgb="00C7352E"/>
      <sz val="10"/>
    </font>
    <font>
      <name val="Arial Unicode MS"/>
      <charset val="134"/>
      <b val="1"/>
      <color rgb="002F6FCE"/>
      <sz val="11"/>
    </font>
  </fonts>
  <fills count="46">
    <fill>
      <patternFill/>
    </fill>
    <fill>
      <patternFill patternType="gray125"/>
    </fill>
    <fill>
      <patternFill patternType="solid">
        <fgColor rgb="FF172033"/>
        <bgColor indexed="64"/>
      </patternFill>
    </fill>
    <fill>
      <patternFill patternType="solid">
        <fgColor rgb="FFE8F0FD"/>
        <bgColor indexed="64"/>
      </patternFill>
    </fill>
    <fill>
      <patternFill patternType="solid">
        <fgColor rgb="FF2F6FCE"/>
        <bgColor indexed="64"/>
      </patternFill>
    </fill>
    <fill>
      <patternFill patternType="solid">
        <fgColor rgb="FFEAF6ED"/>
        <bgColor indexed="64"/>
      </patternFill>
    </fill>
    <fill>
      <patternFill patternType="solid">
        <fgColor rgb="FFFBEFE9"/>
        <bgColor indexed="64"/>
      </patternFill>
    </fill>
    <fill>
      <patternFill patternType="solid">
        <fgColor rgb="FFF1EEFF"/>
        <bgColor indexed="64"/>
      </patternFill>
    </fill>
    <fill>
      <patternFill patternType="solid">
        <fgColor rgb="FFF4F7FB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FBFCFE"/>
        <bgColor indexed="64"/>
      </patternFill>
    </fill>
    <fill>
      <patternFill patternType="solid">
        <fgColor rgb="FF267A3D"/>
        <bgColor indexed="64"/>
      </patternFill>
    </fill>
    <fill>
      <patternFill patternType="solid">
        <fgColor rgb="FFC7662B"/>
        <bgColor indexed="64"/>
      </patternFill>
    </fill>
    <fill>
      <patternFill patternType="solid">
        <fgColor rgb="FF6E56C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8E1EB"/>
      </left>
      <right style="thin">
        <color rgb="FFD8E1EB"/>
      </right>
      <top style="thin">
        <color rgb="FFD8E1EB"/>
      </top>
      <bottom style="thin">
        <color rgb="FFD8E1EB"/>
      </bottom>
      <diagonal/>
    </border>
    <border>
      <left/>
      <right/>
      <top style="thin">
        <color rgb="FFD8E1EB"/>
      </top>
      <bottom style="thin">
        <color rgb="FFD8E1EB"/>
      </bottom>
      <diagonal/>
    </border>
    <border>
      <left/>
      <right style="thin">
        <color rgb="FFD8E1EB"/>
      </right>
      <top style="thin">
        <color rgb="FFD8E1EB"/>
      </top>
      <bottom style="thin">
        <color rgb="FFD8E1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8E1EB"/>
      </top>
      <bottom/>
      <diagonal/>
    </border>
    <border>
      <left/>
      <right style="thin">
        <color rgb="FFD8E1EB"/>
      </right>
      <top style="thin">
        <color rgb="FFD8E1EB"/>
      </top>
      <bottom/>
      <diagonal/>
    </border>
  </borders>
  <cellStyleXfs count="49">
    <xf numFmtId="0" fontId="25" fillId="0" borderId="0"/>
    <xf numFmtId="43" fontId="25" fillId="0" borderId="0" applyAlignment="1">
      <alignment vertical="center"/>
    </xf>
    <xf numFmtId="44" fontId="25" fillId="0" borderId="0" applyAlignment="1">
      <alignment vertical="center"/>
    </xf>
    <xf numFmtId="9" fontId="25" fillId="0" borderId="0" applyAlignment="1">
      <alignment vertical="center"/>
    </xf>
    <xf numFmtId="41" fontId="25" fillId="0" borderId="0" applyAlignment="1">
      <alignment vertical="center"/>
    </xf>
    <xf numFmtId="42" fontId="25" fillId="0" borderId="0" applyAlignment="1">
      <alignment vertical="center"/>
    </xf>
    <xf numFmtId="0" fontId="10" fillId="0" borderId="0"/>
    <xf numFmtId="0" fontId="26" fillId="0" borderId="0" applyAlignment="1">
      <alignment vertical="center"/>
    </xf>
    <xf numFmtId="0" fontId="25" fillId="15" borderId="4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5" applyAlignment="1">
      <alignment vertical="center"/>
    </xf>
    <xf numFmtId="0" fontId="31" fillId="0" borderId="5" applyAlignment="1">
      <alignment vertical="center"/>
    </xf>
    <xf numFmtId="0" fontId="32" fillId="0" borderId="6" applyAlignment="1">
      <alignment vertical="center"/>
    </xf>
    <xf numFmtId="0" fontId="32" fillId="0" borderId="0" applyAlignment="1">
      <alignment vertical="center"/>
    </xf>
    <xf numFmtId="0" fontId="33" fillId="16" borderId="7" applyAlignment="1">
      <alignment vertical="center"/>
    </xf>
    <xf numFmtId="0" fontId="34" fillId="17" borderId="8" applyAlignment="1">
      <alignment vertical="center"/>
    </xf>
    <xf numFmtId="0" fontId="35" fillId="17" borderId="7" applyAlignment="1">
      <alignment vertical="center"/>
    </xf>
    <xf numFmtId="0" fontId="36" fillId="18" borderId="9" applyAlignment="1">
      <alignment vertical="center"/>
    </xf>
    <xf numFmtId="0" fontId="37" fillId="0" borderId="10" applyAlignment="1">
      <alignment vertical="center"/>
    </xf>
    <xf numFmtId="0" fontId="38" fillId="0" borderId="11" applyAlignment="1">
      <alignment vertical="center"/>
    </xf>
    <xf numFmtId="0" fontId="39" fillId="19" borderId="0" applyAlignment="1">
      <alignment vertical="center"/>
    </xf>
    <xf numFmtId="0" fontId="40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3" fillId="23" borderId="0" applyAlignment="1">
      <alignment vertical="center"/>
    </xf>
    <xf numFmtId="0" fontId="43" fillId="24" borderId="0" applyAlignment="1">
      <alignment vertical="center"/>
    </xf>
    <xf numFmtId="0" fontId="42" fillId="25" borderId="0" applyAlignment="1">
      <alignment vertical="center"/>
    </xf>
    <xf numFmtId="0" fontId="42" fillId="26" borderId="0" applyAlignment="1">
      <alignment vertical="center"/>
    </xf>
    <xf numFmtId="0" fontId="43" fillId="27" borderId="0" applyAlignment="1">
      <alignment vertical="center"/>
    </xf>
    <xf numFmtId="0" fontId="43" fillId="28" borderId="0" applyAlignment="1">
      <alignment vertical="center"/>
    </xf>
    <xf numFmtId="0" fontId="42" fillId="29" borderId="0" applyAlignment="1">
      <alignment vertical="center"/>
    </xf>
    <xf numFmtId="0" fontId="42" fillId="30" borderId="0" applyAlignment="1">
      <alignment vertical="center"/>
    </xf>
    <xf numFmtId="0" fontId="43" fillId="31" borderId="0" applyAlignment="1">
      <alignment vertical="center"/>
    </xf>
    <xf numFmtId="0" fontId="43" fillId="32" borderId="0" applyAlignment="1">
      <alignment vertical="center"/>
    </xf>
    <xf numFmtId="0" fontId="42" fillId="33" borderId="0" applyAlignment="1">
      <alignment vertical="center"/>
    </xf>
    <xf numFmtId="0" fontId="42" fillId="34" borderId="0" applyAlignment="1">
      <alignment vertical="center"/>
    </xf>
    <xf numFmtId="0" fontId="43" fillId="35" borderId="0" applyAlignment="1">
      <alignment vertical="center"/>
    </xf>
    <xf numFmtId="0" fontId="43" fillId="36" borderId="0" applyAlignment="1">
      <alignment vertical="center"/>
    </xf>
    <xf numFmtId="0" fontId="42" fillId="37" borderId="0" applyAlignment="1">
      <alignment vertical="center"/>
    </xf>
    <xf numFmtId="0" fontId="42" fillId="38" borderId="0" applyAlignment="1">
      <alignment vertical="center"/>
    </xf>
    <xf numFmtId="0" fontId="43" fillId="39" borderId="0" applyAlignment="1">
      <alignment vertical="center"/>
    </xf>
    <xf numFmtId="0" fontId="43" fillId="40" borderId="0" applyAlignment="1">
      <alignment vertical="center"/>
    </xf>
    <xf numFmtId="0" fontId="42" fillId="41" borderId="0" applyAlignment="1">
      <alignment vertical="center"/>
    </xf>
    <xf numFmtId="0" fontId="42" fillId="42" borderId="0" applyAlignment="1">
      <alignment vertical="center"/>
    </xf>
    <xf numFmtId="0" fontId="43" fillId="43" borderId="0" applyAlignment="1">
      <alignment vertical="center"/>
    </xf>
    <xf numFmtId="0" fontId="43" fillId="44" borderId="0" applyAlignment="1">
      <alignment vertical="center"/>
    </xf>
    <xf numFmtId="0" fontId="42" fillId="45" borderId="0" applyAlignment="1">
      <alignment vertical="center"/>
    </xf>
  </cellStyleXfs>
  <cellXfs count="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7" fillId="0" borderId="0" pivotButton="0" quotePrefix="0" xfId="0"/>
    <xf numFmtId="0" fontId="8" fillId="8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9" fillId="9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3" borderId="0" applyAlignment="1" pivotButton="0" quotePrefix="0" xfId="0">
      <alignment wrapText="1"/>
    </xf>
    <xf numFmtId="0" fontId="10" fillId="0" borderId="0" pivotButton="0" quotePrefix="0" xfId="6"/>
    <xf numFmtId="0" fontId="11" fillId="8" borderId="0" applyAlignment="1" pivotButton="0" quotePrefix="0" xfId="0">
      <alignment vertical="center" wrapText="1"/>
    </xf>
    <xf numFmtId="0" fontId="12" fillId="9" borderId="0" applyAlignment="1" pivotButton="0" quotePrefix="0" xfId="0">
      <alignment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/>
    </xf>
    <xf numFmtId="0" fontId="15" fillId="3" borderId="1" applyAlignment="1" pivotButton="0" quotePrefix="0" xfId="0">
      <alignment vertical="top" wrapText="1"/>
    </xf>
    <xf numFmtId="0" fontId="16" fillId="0" borderId="1" applyAlignment="1" pivotButton="0" quotePrefix="0" xfId="0">
      <alignment vertical="top" wrapText="1"/>
    </xf>
    <xf numFmtId="0" fontId="17" fillId="10" borderId="1" applyAlignment="1" pivotButton="0" quotePrefix="0" xfId="0">
      <alignment vertical="top" wrapText="1"/>
    </xf>
    <xf numFmtId="164" fontId="17" fillId="10" borderId="1" applyAlignment="1" pivotButton="0" quotePrefix="0" xfId="0">
      <alignment vertical="top" wrapText="1"/>
    </xf>
    <xf numFmtId="0" fontId="14" fillId="11" borderId="1" applyAlignment="1" pivotButton="0" quotePrefix="0" xfId="0">
      <alignment horizontal="center" vertical="center"/>
    </xf>
    <xf numFmtId="0" fontId="18" fillId="5" borderId="1" applyAlignment="1" pivotButton="0" quotePrefix="0" xfId="0">
      <alignment vertical="top" wrapText="1"/>
    </xf>
    <xf numFmtId="0" fontId="14" fillId="12" borderId="1" applyAlignment="1" pivotButton="0" quotePrefix="0" xfId="0">
      <alignment horizontal="center" vertical="center"/>
    </xf>
    <xf numFmtId="0" fontId="19" fillId="6" borderId="1" applyAlignment="1" pivotButton="0" quotePrefix="0" xfId="0">
      <alignment vertical="top" wrapText="1"/>
    </xf>
    <xf numFmtId="0" fontId="14" fillId="13" borderId="1" applyAlignment="1" pivotButton="0" quotePrefix="0" xfId="0">
      <alignment horizontal="center" vertical="center"/>
    </xf>
    <xf numFmtId="0" fontId="20" fillId="7" borderId="1" applyAlignment="1" pivotButton="0" quotePrefix="0" xfId="0">
      <alignment vertical="top" wrapText="1"/>
    </xf>
    <xf numFmtId="0" fontId="21" fillId="2" borderId="0" applyAlignment="1" pivotButton="0" quotePrefix="0" xfId="0">
      <alignment horizontal="left" vertical="center"/>
    </xf>
    <xf numFmtId="0" fontId="22" fillId="8" borderId="0" applyAlignment="1" pivotButton="0" quotePrefix="0" xfId="0">
      <alignment vertical="center" wrapText="1"/>
    </xf>
    <xf numFmtId="0" fontId="23" fillId="14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center" vertical="center"/>
    </xf>
    <xf numFmtId="9" fontId="24" fillId="14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9" fontId="0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9" fontId="0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9" fontId="0" fillId="6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9" fontId="0" fillId="7" borderId="1" applyAlignment="1" pivotButton="0" quotePrefix="0" xfId="0">
      <alignment horizontal="center"/>
    </xf>
    <xf numFmtId="0" fontId="0" fillId="8" borderId="1" pivotButton="0" quotePrefix="0" xfId="0"/>
    <xf numFmtId="0" fontId="0" fillId="8" borderId="1" applyAlignment="1" pivotButton="0" quotePrefix="0" xfId="0">
      <alignment horizontal="center"/>
    </xf>
    <xf numFmtId="0" fontId="0" fillId="9" borderId="1" pivotButton="0" quotePrefix="0" xfId="0"/>
    <xf numFmtId="0" fontId="9" fillId="9" borderId="1" applyAlignment="1" pivotButton="0" quotePrefix="0" xfId="0">
      <alignment horizontal="center"/>
    </xf>
    <xf numFmtId="0" fontId="45" fillId="9" borderId="0" applyAlignment="1" pivotButton="0" quotePrefix="0" xfId="0">
      <alignment vertical="center" wrapText="1"/>
    </xf>
    <xf numFmtId="164" fontId="17" fillId="10" borderId="1" applyAlignment="1" pivotButton="0" quotePrefix="0" xfId="0">
      <alignment vertical="top" wrapText="1"/>
    </xf>
    <xf numFmtId="0" fontId="46" fillId="3" borderId="0" pivotButton="0" quotePrefix="0" xfId="0"/>
    <xf numFmtId="165" fontId="17" fillId="10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b val="1"/>
        <color rgb="FF267A3D"/>
      </font>
      <fill>
        <patternFill patternType="solid">
          <fgColor rgb="FFEAF6ED"/>
        </patternFill>
      </fill>
    </dxf>
    <dxf>
      <font>
        <b val="1"/>
        <color rgb="FFC7352E"/>
      </font>
      <fill>
        <patternFill patternType="solid">
          <fgColor rgb="FFFDEDEC"/>
        </patternFill>
      </fill>
    </dxf>
    <dxf>
      <font>
        <b val="1"/>
        <color rgb="FFC7662B"/>
      </font>
      <fill>
        <patternFill patternType="solid">
          <fgColor rgb="FFFFF5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四类场景测试结果</a:t>
            </a:r>
          </a:p>
        </rich>
      </tx>
      <layout/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汇总看板!$D$8</f>
              <strCache>
                <ptCount val="1"/>
                <pt idx="0">
                  <v>通过</v>
                </pt>
              </strCache>
            </strRef>
          </tx>
          <spPr>
            <a:ln xmlns:a="http://schemas.openxmlformats.org/drawingml/2006/main">
              <a:noFill/>
              <a:prstDash val="solid"/>
            </a:ln>
          </spPr>
          <invertIfNegative val="0"/>
          <dLbls>
            <delete val="1"/>
          </dLbls>
          <cat>
            <strRef>
              <f>汇总看板!$A$9:$A$12</f>
              <strCache>
                <ptCount val="4"/>
                <pt idx="0">
                  <v>持续生产</v>
                </pt>
                <pt idx="1">
                  <v>按量消耗</v>
                </pt>
                <pt idx="2">
                  <v>峰谷差异</v>
                </pt>
                <pt idx="3">
                  <v>计量和调度</v>
                </pt>
              </strCache>
            </strRef>
          </cat>
          <val>
            <numRef>
              <f>汇总看板!$D$9:$D$12</f>
              <numCache>
                <formatCode>General</formatCode>
                <ptCount val="4"/>
                <pt idx="0">
                  <v>1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1"/>
          <order val="1"/>
          <tx>
            <strRef>
              <f>汇总看板!$E$8</f>
              <strCache>
                <ptCount val="1"/>
                <pt idx="0">
                  <v>失败/阻塞</v>
                </pt>
              </strCache>
            </strRef>
          </tx>
          <spPr>
            <a:ln xmlns:a="http://schemas.openxmlformats.org/drawingml/2006/main">
              <a:noFill/>
              <a:prstDash val="solid"/>
            </a:ln>
          </spPr>
          <invertIfNegative val="0"/>
          <dLbls>
            <delete val="1"/>
          </dLbls>
          <cat>
            <strRef>
              <f>汇总看板!$A$9:$A$12</f>
              <strCache>
                <ptCount val="4"/>
                <pt idx="0">
                  <v>持续生产</v>
                </pt>
                <pt idx="1">
                  <v>按量消耗</v>
                </pt>
                <pt idx="2">
                  <v>峰谷差异</v>
                </pt>
                <pt idx="3">
                  <v>计量和调度</v>
                </pt>
              </strCache>
            </strRef>
          </cat>
          <val>
            <numRef>
              <f>汇总看板!$E$9:$E$12</f>
              <numCache>
                <formatCode>General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2"/>
          <order val="2"/>
          <tx>
            <strRef>
              <f>汇总看板!$F$8</f>
              <strCache>
                <ptCount val="1"/>
                <pt idx="0">
                  <v>待确认</v>
                </pt>
              </strCache>
            </strRef>
          </tx>
          <spPr>
            <a:ln xmlns:a="http://schemas.openxmlformats.org/drawingml/2006/main">
              <a:noFill/>
              <a:prstDash val="solid"/>
            </a:ln>
          </spPr>
          <invertIfNegative val="0"/>
          <dLbls>
            <delete val="1"/>
          </dLbls>
          <cat>
            <strRef>
              <f>汇总看板!$A$9:$A$12</f>
              <strCache>
                <ptCount val="4"/>
                <pt idx="0">
                  <v>持续生产</v>
                </pt>
                <pt idx="1">
                  <v>按量消耗</v>
                </pt>
                <pt idx="2">
                  <v>峰谷差异</v>
                </pt>
                <pt idx="3">
                  <v>计量和调度</v>
                </pt>
              </strCache>
            </strRef>
          </cat>
          <val>
            <numRef>
              <f>汇总看板!$F$9:$F$12</f>
              <numCache>
                <formatCode>General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核心逻辑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场景数</a:t>
                </a:r>
              </a:p>
            </rich>
          </tx>
          <layout/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between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Codex</author>
  </authors>
  <commentList>
    <comment ref="P4" authorId="0" shapeId="0">
      <text>
        <t>通过：事实、原因、动作和证据闭环；其余类型见“测试说明”。</t>
      </text>
    </comment>
    <comment ref="R4" authorId="0" shapeId="0">
      <text>
        <t>P0：错误放行/重复计费/历史账改写/生产不可用未识别；P1：核心口径或解释链错误；P2/P3：体验或低风险问题。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4680000" cy="2909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Users/mac/Projects/&#20191;&#27969;&#26234;&#31639;/V4/&#20191;&#27969;&#26234;&#31639;-&#20135;&#21697;&#38656;&#27714;&#25991;&#26723;-v2.0.md" TargetMode="External" Id="rId1"/><Relationship Type="http://schemas.openxmlformats.org/officeDocument/2006/relationships/hyperlink" Target="Users/mac/Projects/&#20191;&#27969;&#26234;&#31639;/V4/&#20191;&#27969;&#26234;&#31639;-&#25216;&#26415;&#38656;&#27714;&#25991;&#26723;-v2.0.md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7" topLeftCell="A8" activePane="bottomLeft" state="frozen"/>
      <selection activeCell="A1" sqref="A1"/>
      <selection pane="bottomLeft" activeCell="A1" sqref="A1:J1"/>
    </sheetView>
  </sheetViews>
  <sheetFormatPr baseColWidth="8" defaultColWidth="9" defaultRowHeight="16.8"/>
  <cols>
    <col width="17" customWidth="1" min="1" max="1"/>
    <col width="10" customWidth="1" min="2" max="2"/>
    <col width="4" customWidth="1" min="3" max="3"/>
    <col width="17" customWidth="1" min="4" max="4"/>
    <col width="12" customWidth="1" min="5" max="5"/>
    <col width="11" customWidth="1" min="6" max="7"/>
    <col width="4" customWidth="1" min="8" max="8"/>
    <col width="12" customWidth="1" min="9" max="9"/>
    <col width="4" customWidth="1" min="10" max="10"/>
  </cols>
  <sheetData>
    <row r="1" ht="42" customHeight="1">
      <c r="A1" s="35" t="inlineStr">
        <is>
          <t>仟流智算 2.0｜四大核心逻辑场景测试看板</t>
        </is>
      </c>
    </row>
    <row r="2" ht="32" customHeight="1">
      <c r="A2" s="36" t="inlineStr">
        <is>
          <t>共 40 个查验场景。请在“测试总表”回填入口、操作、内容、实际结果和 Evidence；本页自动汇总。</t>
        </is>
      </c>
    </row>
    <row r="4">
      <c r="A4" s="37" t="inlineStr">
        <is>
          <t>总场景</t>
        </is>
      </c>
      <c r="B4" s="16" t="n"/>
      <c r="C4" s="37" t="inlineStr">
        <is>
          <t>已测试</t>
        </is>
      </c>
      <c r="D4" s="16" t="n"/>
      <c r="E4" s="37" t="inlineStr">
        <is>
          <t>通过</t>
        </is>
      </c>
      <c r="F4" s="16" t="n"/>
      <c r="G4" s="37" t="inlineStr">
        <is>
          <t>失败/阻塞</t>
        </is>
      </c>
      <c r="H4" s="16" t="n"/>
      <c r="I4" s="37" t="inlineStr">
        <is>
          <t>完成率</t>
        </is>
      </c>
      <c r="J4" s="16" t="n"/>
    </row>
    <row r="5" ht="30.4" customHeight="1">
      <c r="A5" s="38">
        <f>COUNTA(测试总表!$A$5:$A$44)</f>
        <v/>
      </c>
      <c r="B5" s="16" t="n"/>
      <c r="C5" s="38">
        <f>COUNTIF(测试总表!$Q$5:$Q$44,"&lt;&gt;未测试")</f>
        <v/>
      </c>
      <c r="D5" s="16" t="n"/>
      <c r="E5" s="38">
        <f>COUNTIF(测试总表!$Q$5:$Q$44,"通过")</f>
        <v/>
      </c>
      <c r="F5" s="16" t="n"/>
      <c r="G5" s="38">
        <f>COUNTIF(测试总表!$Q$5:$Q$44,"不通过")+COUNTIF(测试总表!$Q$5:$Q$44,"阻塞")</f>
        <v/>
      </c>
      <c r="H5" s="16" t="n"/>
      <c r="I5" s="39">
        <f>IFERROR(C5/A5,0)</f>
        <v/>
      </c>
      <c r="J5" s="16" t="n"/>
    </row>
    <row r="8">
      <c r="A8" s="40" t="inlineStr">
        <is>
          <t>核心逻辑</t>
        </is>
      </c>
      <c r="B8" s="40" t="inlineStr">
        <is>
          <t>总数</t>
        </is>
      </c>
      <c r="C8" s="40" t="inlineStr">
        <is>
          <t>已测试</t>
        </is>
      </c>
      <c r="D8" s="40" t="inlineStr">
        <is>
          <t>通过</t>
        </is>
      </c>
      <c r="E8" s="40" t="inlineStr">
        <is>
          <t>失败/阻塞</t>
        </is>
      </c>
      <c r="F8" s="40" t="inlineStr">
        <is>
          <t>待确认</t>
        </is>
      </c>
      <c r="G8" s="40" t="inlineStr">
        <is>
          <t>完成率</t>
        </is>
      </c>
    </row>
    <row r="9">
      <c r="A9" s="41" t="inlineStr">
        <is>
          <t>持续生产</t>
        </is>
      </c>
      <c r="B9" s="42">
        <f>COUNTIF(测试总表!$B$5:$B$44,A9)</f>
        <v/>
      </c>
      <c r="C9" s="42">
        <f>COUNTIFS(测试总表!$B$5:$B$44,A9,测试总表!$Q$5:$Q$44,"&lt;&gt;未测试")</f>
        <v/>
      </c>
      <c r="D9" s="42">
        <f>COUNTIFS(测试总表!$B$5:$B$44,A9,测试总表!$Q$5:$Q$44,"通过")</f>
        <v/>
      </c>
      <c r="E9" s="42">
        <f>COUNTIFS(测试总表!$B$5:$B$44,A9,测试总表!$Q$5:$Q$44,"不通过")+COUNTIFS(测试总表!$B$5:$B$44,A9,测试总表!$Q$5:$Q$44,"阻塞")</f>
        <v/>
      </c>
      <c r="F9" s="42">
        <f>COUNTIFS(测试总表!$B$5:$B$44,A9,测试总表!$Q$5:$Q$44,"待确认")</f>
        <v/>
      </c>
      <c r="G9" s="43">
        <f>IFERROR(C9/B9,0)</f>
        <v/>
      </c>
    </row>
    <row r="10">
      <c r="A10" s="44" t="inlineStr">
        <is>
          <t>按量消耗</t>
        </is>
      </c>
      <c r="B10" s="45">
        <f>COUNTIF(测试总表!$B$5:$B$44,A10)</f>
        <v/>
      </c>
      <c r="C10" s="45">
        <f>COUNTIFS(测试总表!$B$5:$B$44,A10,测试总表!$Q$5:$Q$44,"&lt;&gt;未测试")</f>
        <v/>
      </c>
      <c r="D10" s="45">
        <f>COUNTIFS(测试总表!$B$5:$B$44,A10,测试总表!$Q$5:$Q$44,"通过")</f>
        <v/>
      </c>
      <c r="E10" s="45">
        <f>COUNTIFS(测试总表!$B$5:$B$44,A10,测试总表!$Q$5:$Q$44,"不通过")+COUNTIFS(测试总表!$B$5:$B$44,A10,测试总表!$Q$5:$Q$44,"阻塞")</f>
        <v/>
      </c>
      <c r="F10" s="45">
        <f>COUNTIFS(测试总表!$B$5:$B$44,A10,测试总表!$Q$5:$Q$44,"待确认")</f>
        <v/>
      </c>
      <c r="G10" s="46">
        <f>IFERROR(C10/B10,0)</f>
        <v/>
      </c>
    </row>
    <row r="11">
      <c r="A11" s="47" t="inlineStr">
        <is>
          <t>峰谷差异</t>
        </is>
      </c>
      <c r="B11" s="48">
        <f>COUNTIF(测试总表!$B$5:$B$44,A11)</f>
        <v/>
      </c>
      <c r="C11" s="48">
        <f>COUNTIFS(测试总表!$B$5:$B$44,A11,测试总表!$Q$5:$Q$44,"&lt;&gt;未测试")</f>
        <v/>
      </c>
      <c r="D11" s="48">
        <f>COUNTIFS(测试总表!$B$5:$B$44,A11,测试总表!$Q$5:$Q$44,"通过")</f>
        <v/>
      </c>
      <c r="E11" s="48">
        <f>COUNTIFS(测试总表!$B$5:$B$44,A11,测试总表!$Q$5:$Q$44,"不通过")+COUNTIFS(测试总表!$B$5:$B$44,A11,测试总表!$Q$5:$Q$44,"阻塞")</f>
        <v/>
      </c>
      <c r="F11" s="48">
        <f>COUNTIFS(测试总表!$B$5:$B$44,A11,测试总表!$Q$5:$Q$44,"待确认")</f>
        <v/>
      </c>
      <c r="G11" s="49">
        <f>IFERROR(C11/B11,0)</f>
        <v/>
      </c>
    </row>
    <row r="12">
      <c r="A12" s="50" t="inlineStr">
        <is>
          <t>计量和调度</t>
        </is>
      </c>
      <c r="B12" s="51">
        <f>COUNTIF(测试总表!$B$5:$B$44,A12)</f>
        <v/>
      </c>
      <c r="C12" s="51">
        <f>COUNTIFS(测试总表!$B$5:$B$44,A12,测试总表!$Q$5:$Q$44,"&lt;&gt;未测试")</f>
        <v/>
      </c>
      <c r="D12" s="51">
        <f>COUNTIFS(测试总表!$B$5:$B$44,A12,测试总表!$Q$5:$Q$44,"通过")</f>
        <v/>
      </c>
      <c r="E12" s="51">
        <f>COUNTIFS(测试总表!$B$5:$B$44,A12,测试总表!$Q$5:$Q$44,"不通过")+COUNTIFS(测试总表!$B$5:$B$44,A12,测试总表!$Q$5:$Q$44,"阻塞")</f>
        <v/>
      </c>
      <c r="F12" s="51">
        <f>COUNTIFS(测试总表!$B$5:$B$44,A12,测试总表!$Q$5:$Q$44,"待确认")</f>
        <v/>
      </c>
      <c r="G12" s="52">
        <f>IFERROR(C12/B12,0)</f>
        <v/>
      </c>
    </row>
    <row r="15" ht="18.4" customHeight="1">
      <c r="A15" s="12" t="inlineStr">
        <is>
          <t>问题类型</t>
        </is>
      </c>
      <c r="D15" s="12" t="inlineStr">
        <is>
          <t>未关闭高优先级</t>
        </is>
      </c>
    </row>
    <row r="16">
      <c r="A16" s="53" t="inlineStr">
        <is>
          <t>数据缺口</t>
        </is>
      </c>
      <c r="B16" s="54">
        <f>COUNTIF(测试总表!$P$5:$P$44,A16)</f>
        <v/>
      </c>
      <c r="D16" s="55" t="inlineStr">
        <is>
          <t>P0/P1 且未通过</t>
        </is>
      </c>
      <c r="E16" s="56">
        <f>COUNTIFS(测试总表!$R$5:$R$44,"P0",测试总表!$Q$5:$Q$44,"&lt;&gt;通过")+COUNTIFS(测试总表!$R$5:$R$44,"P1",测试总表!$Q$5:$Q$44,"&lt;&gt;通过")</f>
        <v/>
      </c>
    </row>
    <row r="17">
      <c r="A17" s="53" t="inlineStr">
        <is>
          <t>解释缺口</t>
        </is>
      </c>
      <c r="B17" s="54">
        <f>COUNTIF(测试总表!$P$5:$P$44,A17)</f>
        <v/>
      </c>
    </row>
    <row r="18">
      <c r="A18" s="53" t="inlineStr">
        <is>
          <t>闭环缺口</t>
        </is>
      </c>
      <c r="B18" s="54">
        <f>COUNTIF(测试总表!$P$5:$P$44,A18)</f>
        <v/>
      </c>
    </row>
    <row r="19">
      <c r="A19" s="53" t="inlineStr">
        <is>
          <t>口径错误</t>
        </is>
      </c>
      <c r="B19" s="54">
        <f>COUNTIF(测试总表!$P$5:$P$44,A19)</f>
        <v/>
      </c>
    </row>
    <row r="20">
      <c r="A20" s="53" t="inlineStr">
        <is>
          <t>严重错误</t>
        </is>
      </c>
      <c r="B20" s="54">
        <f>COUNTIF(测试总表!$P$5:$P$44,A20)</f>
        <v/>
      </c>
    </row>
  </sheetData>
  <mergeCells count="12">
    <mergeCell ref="A4:B4"/>
    <mergeCell ref="G4:H4"/>
    <mergeCell ref="A1:J1"/>
    <mergeCell ref="E4:F4"/>
    <mergeCell ref="I4:J4"/>
    <mergeCell ref="C5:D5"/>
    <mergeCell ref="A5:B5"/>
    <mergeCell ref="G5:H5"/>
    <mergeCell ref="E5:F5"/>
    <mergeCell ref="I5:J5"/>
    <mergeCell ref="A2:J2"/>
    <mergeCell ref="C4:D4"/>
  </mergeCells>
  <pageMargins left="0.25" right="0.25" top="0.35" bottom="0.35" header="0.1" footer="0.1"/>
  <pageSetup orientation="landscape" paperSize="8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44"/>
  <sheetViews>
    <sheetView showGridLines="0" tabSelected="1" zoomScale="110" zoomScaleNormal="110" workbookViewId="0">
      <pane xSplit="3" ySplit="4" topLeftCell="L5" activePane="bottomRight" state="frozen"/>
      <selection activeCell="A1" sqref="A1"/>
      <selection pane="topRight" activeCell="A1" sqref="A1"/>
      <selection pane="bottomLeft" activeCell="A1" sqref="A1"/>
      <selection pane="bottomRight" activeCell="S6" sqref="S6"/>
    </sheetView>
  </sheetViews>
  <sheetFormatPr baseColWidth="8" defaultColWidth="9" defaultRowHeight="16.8"/>
  <cols>
    <col width="12" customWidth="1" min="1" max="1"/>
    <col width="13" customWidth="1" min="2" max="2"/>
    <col width="24" customWidth="1" min="3" max="4"/>
    <col width="18" customWidth="1" min="5" max="5"/>
    <col width="26" customWidth="1" min="6" max="6"/>
    <col width="44" customWidth="1" min="7" max="7"/>
    <col width="38" customWidth="1" min="8" max="8"/>
    <col width="48" customWidth="1" min="9" max="9"/>
    <col width="26" customWidth="1" min="10" max="10"/>
    <col width="14" customWidth="1" min="11" max="12"/>
    <col width="15" customWidth="1" min="13" max="13"/>
    <col width="19" customWidth="1" min="14" max="14"/>
    <col width="38" customWidth="1" min="15" max="15"/>
    <col width="14" customWidth="1" min="16" max="16"/>
    <col width="13" customWidth="1" min="17" max="17"/>
    <col width="12" customWidth="1" min="18" max="18"/>
    <col width="34" customWidth="1" min="19" max="19"/>
    <col width="28" customWidth="1" min="20" max="20"/>
    <col width="12" customWidth="1" min="21" max="21"/>
    <col width="13" customWidth="1" min="22" max="23"/>
    <col width="28" customWidth="1" min="24" max="24"/>
  </cols>
  <sheetData>
    <row r="1" ht="40" customHeight="1">
      <c r="A1" s="1" t="inlineStr">
        <is>
          <t>仟流智算 2.0｜四大核心逻辑场景测试总表</t>
        </is>
      </c>
    </row>
    <row r="2" ht="30" customHeight="1">
      <c r="A2" s="21" t="inlineStr">
        <is>
          <t>填写顺序：找到页面/入口 → 执行操作 → 判断是否有真实内容 → 记录实际结果 → 选择问题类型、结论和严重级别 → 附截图或 Evidence。</t>
        </is>
      </c>
    </row>
    <row r="3" ht="32" customHeight="1">
      <c r="A3" s="57" t="inlineStr">
        <is>
          <t>测试范围：本表只按已部署的仟流智算 2.0 页面、菜单和真实数据测试；不要求切换版本或寻找其他菜单。凭证失效、熔断、超时、并发抢额度等场景只能使用测试主体/测试资源、历史事件或测试环境。</t>
        </is>
      </c>
    </row>
    <row r="4" ht="36" customHeight="1">
      <c r="A4" s="23" t="inlineStr">
        <is>
          <t>测试编号</t>
        </is>
      </c>
      <c r="B4" s="23" t="inlineStr">
        <is>
          <t>核心逻辑</t>
        </is>
      </c>
      <c r="C4" s="23" t="inlineStr">
        <is>
          <t>客户核心问题</t>
        </is>
      </c>
      <c r="D4" s="23" t="inlineStr">
        <is>
          <t>场景</t>
        </is>
      </c>
      <c r="E4" s="23" t="inlineStr">
        <is>
          <t>测试方式</t>
        </is>
      </c>
      <c r="F4" s="23" t="inlineStr">
        <is>
          <t>查验问题</t>
        </is>
      </c>
      <c r="G4" s="23" t="inlineStr">
        <is>
          <t>建议测试动作</t>
        </is>
      </c>
      <c r="H4" s="23" t="inlineStr">
        <is>
          <t>重点查验</t>
        </is>
      </c>
      <c r="I4" s="23" t="inlineStr">
        <is>
          <t>预期结果/通过标准</t>
        </is>
      </c>
      <c r="J4" s="23" t="inlineStr">
        <is>
          <t>实际页面/入口</t>
        </is>
      </c>
      <c r="K4" s="23" t="inlineStr">
        <is>
          <t>入口是否存在</t>
        </is>
      </c>
      <c r="L4" s="23" t="inlineStr">
        <is>
          <t>操作是否可用</t>
        </is>
      </c>
      <c r="M4" s="23" t="inlineStr">
        <is>
          <t>页面是否有内容</t>
        </is>
      </c>
      <c r="N4" s="23" t="inlineStr">
        <is>
          <t>内容是否真实/非演示</t>
        </is>
      </c>
      <c r="O4" s="23" t="inlineStr">
        <is>
          <t>实际结果记录</t>
        </is>
      </c>
      <c r="P4" s="23" t="inlineStr">
        <is>
          <t>问题类型</t>
        </is>
      </c>
      <c r="Q4" s="23" t="inlineStr">
        <is>
          <t>测试结论</t>
        </is>
      </c>
      <c r="R4" s="23" t="inlineStr">
        <is>
          <t>严重级别</t>
        </is>
      </c>
      <c r="S4" s="23" t="inlineStr">
        <is>
          <t>问题描述</t>
        </is>
      </c>
      <c r="T4" s="23" t="inlineStr">
        <is>
          <t>截图/Evidence</t>
        </is>
      </c>
      <c r="U4" s="23" t="inlineStr">
        <is>
          <t>测试人</t>
        </is>
      </c>
      <c r="V4" s="23" t="inlineStr">
        <is>
          <t>测试日期</t>
        </is>
      </c>
      <c r="W4" s="23" t="inlineStr">
        <is>
          <t>复测结论</t>
        </is>
      </c>
      <c r="X4" s="23" t="inlineStr">
        <is>
          <t>备注</t>
        </is>
      </c>
    </row>
    <row r="5" ht="70" customHeight="1">
      <c r="A5" s="24" t="inlineStr">
        <is>
          <t>CP-01</t>
        </is>
      </c>
      <c r="B5" s="25" t="inlineStr">
        <is>
          <t>持续生产</t>
        </is>
      </c>
      <c r="C5" s="26" t="inlineStr">
        <is>
          <t>现在还能不能用？还能用多久？</t>
        </is>
      </c>
      <c r="D5" s="26" t="inlineStr">
        <is>
          <t>全部资源正常</t>
        </is>
      </c>
      <c r="E5" s="26" t="inlineStr">
        <is>
          <t>真实请求</t>
        </is>
      </c>
      <c r="F5" s="26" t="inlineStr">
        <is>
          <t>系统现在是否真的可用？</t>
        </is>
      </c>
      <c r="G5" s="26" t="inlineStr">
        <is>
          <t>选择一个已授权员工，分别对当前主资源发起一次低风险真实请求；对照首页、厂商资源和请求明细。</t>
        </is>
      </c>
      <c r="H5" s="26" t="inlineStr">
        <is>
          <t>资源健康、最近检测时间、成功率、请求状态与实际返回。</t>
        </is>
      </c>
      <c r="I5" s="26" t="inlineStr">
        <is>
          <t>请求成功；首页、资源页和请求明细状态一致；数据时间有效。</t>
        </is>
      </c>
      <c r="J5" s="27" t="inlineStr">
        <is>
          <t>运行保障；厂商资源 → 资源健康与异常；用量账本 → 请求明细</t>
        </is>
      </c>
      <c r="K5" s="27" t="inlineStr">
        <is>
          <t>是</t>
        </is>
      </c>
      <c r="L5" s="27" t="inlineStr">
        <is>
          <t>是</t>
        </is>
      </c>
      <c r="M5" s="27" t="inlineStr">
        <is>
          <t>有</t>
        </is>
      </c>
      <c r="N5" s="27" t="inlineStr">
        <is>
          <t>是</t>
        </is>
      </c>
      <c r="O5" s="27" t="inlineStr">
        <is>
          <t>运行保障显示活跃熔断 0、受阻资源 0、影响请求 0、降级资源 0、下次自动恢复暂无；Kimi、DeepSeek、智谱资源健康均显示正常，调度影响为正常参与调度，可用性为允许请求，状态原因为恢复正常、无需处置；用量账本请求明细存在真实请求记录，包含请求 ID、发起主体、模型、厂商/资源、输入 Token 和输出 Token。</t>
        </is>
      </c>
      <c r="P5" s="27" t="inlineStr">
        <is>
          <t>通过</t>
        </is>
      </c>
      <c r="Q5" s="27" t="inlineStr">
        <is>
          <t>通过</t>
        </is>
      </c>
      <c r="R5" s="27" t="inlineStr">
        <is>
          <t>未分级</t>
        </is>
      </c>
      <c r="S5" s="27" t="inlineStr"/>
      <c r="T5" s="27" t="inlineStr">
        <is>
          <t>/var/folders/bd/x5tqktw96l5cw5r90mvnbty80000gp/T/codex-clipboard-6014863e-60ab-4fa9-8943-67902ab42bc1.png; /var/folders/bd/x5tqktw96l5cw5r90mvnbty80000gp/T/codex-clipboard-db3e5989-b12d-40cd-829a-8bfdd2b47501.png; /var/folders/bd/x5tqktw96l5cw5r90mvnbty80000gp/T/codex-clipboard-05143320-5614-48c1-882b-0020afe2db26.png</t>
        </is>
      </c>
      <c r="U5" s="27" t="inlineStr"/>
      <c r="V5" s="60" t="inlineStr">
        <is>
          <t>2026-08-18</t>
        </is>
      </c>
      <c r="W5" s="27" t="inlineStr">
        <is>
          <t>未复测</t>
        </is>
      </c>
      <c r="X5" s="27" t="inlineStr">
        <is>
          <t>CP-01 已通过；CP-02 的经营数据新鲜度问题单独记录。</t>
        </is>
      </c>
    </row>
    <row r="6" ht="70" customHeight="1">
      <c r="A6" s="24" t="inlineStr">
        <is>
          <t>CP-02</t>
        </is>
      </c>
      <c r="B6" s="25" t="inlineStr">
        <is>
          <t>持续生产</t>
        </is>
      </c>
      <c r="C6" s="26" t="inlineStr">
        <is>
          <t>现在还能不能用？还能用多久？</t>
        </is>
      </c>
      <c r="D6" s="26" t="inlineStr">
        <is>
          <t>API 余额逐渐降低</t>
        </is>
      </c>
      <c r="E6" s="26" t="inlineStr">
        <is>
          <t>页面观察</t>
        </is>
      </c>
      <c r="F6" s="26" t="inlineStr">
        <is>
          <t>这笔余额还能支撑多久？</t>
        </is>
      </c>
      <c r="G6" s="26" t="inlineStr">
        <is>
          <t>打开 API 资源详情和供给预测，记录余额、1h/24h/7d 速度、覆盖时长及预计耗尽。</t>
        </is>
      </c>
      <c r="H6" s="26" t="inlineStr">
        <is>
          <t>金额余额与 Token 必须分栏；预测来源、数据时间和可信度。</t>
        </is>
      </c>
      <c r="I6" s="26" t="inlineStr">
        <is>
          <t>显示金额余额、消耗速度、覆盖时长和预计耗尽；不得把人民币余额伪换算为 Token。</t>
        </is>
      </c>
      <c r="J6" s="27" t="inlineStr">
        <is>
          <t>厂商资源 → DeepSeek-仟流智算 → 更新经营数据</t>
        </is>
      </c>
      <c r="K6" s="27" t="inlineStr">
        <is>
          <t>是</t>
        </is>
      </c>
      <c r="L6" s="27" t="inlineStr">
        <is>
          <t>是</t>
        </is>
      </c>
      <c r="M6" s="27" t="inlineStr">
        <is>
          <t>有</t>
        </is>
      </c>
      <c r="N6" s="27" t="inlineStr">
        <is>
          <t>是</t>
        </is>
      </c>
      <c r="O6" s="27" t="inlineStr">
        <is>
          <t>充值 109.41 CNY；当前余额 68.00 CNY；本期实际费用 47.41 CNY；余额更新时间 2026-08-03 11:58（距测试日约 15 天）；累计费用和费用周期结束为空。供给预测仍显示预计耗尽、覆盖时长和 MEDIUM 可信度，但经营快照未按当前测试日更新。</t>
        </is>
      </c>
      <c r="P6" s="27" t="inlineStr">
        <is>
          <t>数据缺口</t>
        </is>
      </c>
      <c r="Q6" s="27" t="inlineStr">
        <is>
          <t>待确认</t>
        </is>
      </c>
      <c r="R6" s="27" t="inlineStr">
        <is>
          <t>P1</t>
        </is>
      </c>
      <c r="S6" s="27" t="inlineStr"/>
      <c r="T6" s="27" t="inlineStr">
        <is>
          <t>/var/folders/bd/x5tqktw96l5cw5r90mvnbty80000gp/T/codex-clipboard-9d28a214-4e6e-4bb2-9e6d-a02d7918d0a7.png; /var/folders/bd/x5tqktw96l5cw5r90mvnbty80000gp/T/codex-clipboard-1e8d22f9-2282-4daf-a615-ef4bd2bc28e9.png</t>
        </is>
      </c>
      <c r="U6" s="27" t="inlineStr"/>
      <c r="V6" s="60" t="inlineStr">
        <is>
          <t>2026-08-18</t>
        </is>
      </c>
      <c r="W6" s="27" t="inlineStr">
        <is>
          <t>未复测</t>
        </is>
      </c>
      <c r="X6" s="27" t="inlineStr">
        <is>
          <t>建议进入 2.0 后续改进：按资源每日自动同步余额/费用，保留快照、数据时间、同步状态和失败原因。</t>
        </is>
      </c>
    </row>
    <row r="7" ht="70" customHeight="1">
      <c r="A7" s="24" t="inlineStr">
        <is>
          <t>CP-03</t>
        </is>
      </c>
      <c r="B7" s="25" t="inlineStr">
        <is>
          <t>持续生产</t>
        </is>
      </c>
      <c r="C7" s="26" t="inlineStr">
        <is>
          <t>现在还能不能用？还能用多久？</t>
        </is>
      </c>
      <c r="D7" s="26" t="inlineStr">
        <is>
          <t>突然出现消耗高峰</t>
        </is>
      </c>
      <c r="E7" s="26" t="inlineStr">
        <is>
          <t>数据对账</t>
        </is>
      </c>
      <c r="F7" s="26" t="inlineStr">
        <is>
          <t>消耗加速后，原预测是否及时变化？</t>
        </is>
      </c>
      <c r="G7" s="26" t="inlineStr">
        <is>
          <t>选择一个已出现峰值的历史时段，对比峰值前后 1h/24h/7d 速度和耗尽预测。</t>
        </is>
      </c>
      <c r="H7" s="26" t="inlineStr">
        <is>
          <t>峰值识别、预测更新时间、旧预测是否被替换。</t>
        </is>
      </c>
      <c r="I7" s="26" t="inlineStr">
        <is>
          <t>消耗速度变化后覆盖时长与耗尽预测同步调整；旧预测不冒充当前预测。</t>
        </is>
      </c>
      <c r="J7" s="27" t="inlineStr">
        <is>
          <t>厂商资源 → 供给预测</t>
        </is>
      </c>
      <c r="K7" s="27" t="inlineStr">
        <is>
          <t>是</t>
        </is>
      </c>
      <c r="L7" s="27" t="inlineStr">
        <is>
          <t>不适用</t>
        </is>
      </c>
      <c r="M7" s="27" t="inlineStr">
        <is>
          <t>有</t>
        </is>
      </c>
      <c r="N7" s="27" t="inlineStr">
        <is>
          <t>是</t>
        </is>
      </c>
      <c r="O7" s="27" t="inlineStr">
        <is>
          <t>供给预测为只读展示：DeepSeek 1h/24h/7d 为 — / 0.04101473 / 0.05282199，预计耗尽 2026-10-19 16:46:30，覆盖约 1486.74067724h，可信度 MEDIUM；智谱为 — / — / 249948.37068039，预计耗尽 2026-09-19 07:14:21，下一恢复 2026-08-26 12:00:00，覆盖约 757.20479187h，可信度 MEDIUM；Kimi 为 29422 / 2137116.75834274 / 506080.39035205，预计耗尽 2026-08-19 11:49:00，下一恢复 2026-08-20 11:49:00，覆盖约 34.38129819h，可信度 HIGH。页面无交互刷新或历史对比。</t>
        </is>
      </c>
      <c r="P7" s="27" t="inlineStr">
        <is>
          <t>未测试</t>
        </is>
      </c>
      <c r="Q7" s="27" t="inlineStr">
        <is>
          <t>待确认</t>
        </is>
      </c>
      <c r="R7" s="27" t="inlineStr">
        <is>
          <t>未分级</t>
        </is>
      </c>
      <c r="S7" s="27" t="inlineStr"/>
      <c r="T7" s="27" t="inlineStr">
        <is>
          <t>/var/folders/bd/x5tqktw96l5cw5r90mvnbty80000gp/T/codex-clipboard-bfada8b8-a46b-428b-b3f3-0d68b08f6e25.png</t>
        </is>
      </c>
      <c r="U7" s="27" t="inlineStr"/>
      <c r="V7" s="60" t="inlineStr">
        <is>
          <t>2026-08-18</t>
        </is>
      </c>
      <c r="W7" s="27" t="inlineStr">
        <is>
          <t>未复测</t>
        </is>
      </c>
      <c r="X7" s="27" t="inlineStr">
        <is>
          <t>只验证展示内容；自动同步与数据新鲜度归入 POOL20-025。</t>
        </is>
      </c>
    </row>
    <row r="8" ht="70" customHeight="1">
      <c r="A8" s="24" t="inlineStr">
        <is>
          <t>CP-04</t>
        </is>
      </c>
      <c r="B8" s="25" t="inlineStr">
        <is>
          <t>持续生产</t>
        </is>
      </c>
      <c r="C8" s="26" t="inlineStr">
        <is>
          <t>现在还能不能用？还能用多久？</t>
        </is>
      </c>
      <c r="D8" s="26" t="inlineStr">
        <is>
          <t>Coding Plan 五小时额度接近耗尽</t>
        </is>
      </c>
      <c r="E8" s="26" t="inlineStr">
        <is>
          <t>页面观察</t>
        </is>
      </c>
      <c r="F8" s="26" t="inlineStr">
        <is>
          <t>当前五小时窗口还能不能继续使用？</t>
        </is>
      </c>
      <c r="G8" s="26" t="inlineStr">
        <is>
          <t>打开 Kimi/智谱 Coding Plan 的原生额度窗口，查看五小时已用、剩余、利用率和重置时间。</t>
        </is>
      </c>
      <c r="H8" s="26" t="inlineStr">
        <is>
          <t>五小时窗口必须独立展示；同步状态和数据时间。</t>
        </is>
      </c>
      <c r="I8" s="26" t="inlineStr">
        <is>
          <t>显示五小时已用、剩余、利用率、重置时间和同步状态；不能只显示本地 Token。</t>
        </is>
      </c>
      <c r="J8" s="27" t="inlineStr">
        <is>
          <t>厂商资源 → 厂商额度窗口</t>
        </is>
      </c>
      <c r="K8" s="27" t="inlineStr">
        <is>
          <t>是</t>
        </is>
      </c>
      <c r="L8" s="27" t="inlineStr">
        <is>
          <t>是</t>
        </is>
      </c>
      <c r="M8" s="27" t="inlineStr">
        <is>
          <t>有</t>
        </is>
      </c>
      <c r="N8" s="27" t="inlineStr">
        <is>
          <t>是</t>
        </is>
      </c>
      <c r="O8" s="27" t="inlineStr">
        <is>
          <t>Kimi 与智谱额度窗口均为厂商提供数据。Kimi：滚动 5 小时已用 5/100、剩余 95、重置 2026-08-18 20:16:04；周额度已用 17/100、剩余 83、重置 2026-08-24 11:16:04；同步成功，数据截至 2026-08-18 18:02:35，来源 PROVIDER_SYNC/pool032-v1。DeepSeek：API 计费，厂商窗口不适用。智谱：已手动执行同步后，滚动 5 小时仍显示已用 0/100、剩余 100，但没有显示重置时间；周额度已用 1/100、剩余 99、重置 2026-08-21 17:23:09。</t>
        </is>
      </c>
      <c r="P8" s="27" t="inlineStr">
        <is>
          <t>数据缺口</t>
        </is>
      </c>
      <c r="Q8" s="27" t="inlineStr">
        <is>
          <t>待确认</t>
        </is>
      </c>
      <c r="R8" s="27" t="inlineStr">
        <is>
          <t>未分级</t>
        </is>
      </c>
      <c r="S8" s="27" t="inlineStr"/>
      <c r="T8" s="27" t="inlineStr">
        <is>
          <t>/var/folders/bd/x5tqktw96l5cw5r90mvnbty80000gp/T/codex-clipboard-ab74f81b-d1f4-45f7-8e82-fb188186f4be.png</t>
        </is>
      </c>
      <c r="U8" s="27" t="inlineStr"/>
      <c r="V8" s="60" t="inlineStr">
        <is>
          <t>2026-08-18</t>
        </is>
      </c>
      <c r="W8" s="27" t="inlineStr">
        <is>
          <t>未复测</t>
        </is>
      </c>
      <c r="X8" s="27" t="inlineStr">
        <is>
          <t>已确认 Kimi/智谱窗口均来自厂商；智谱手动同步后五小时重置时间仍未显示。下一步核对同步原始响应、适配层字段和前端映射，不预判原因。</t>
        </is>
      </c>
    </row>
    <row r="9" ht="70" customHeight="1">
      <c r="A9" s="24" t="inlineStr">
        <is>
          <t>CP-05</t>
        </is>
      </c>
      <c r="B9" s="25" t="inlineStr">
        <is>
          <t>持续生产</t>
        </is>
      </c>
      <c r="C9" s="26" t="inlineStr">
        <is>
          <t>现在还能不能用？还能用多久？</t>
        </is>
      </c>
      <c r="D9" s="26" t="inlineStr">
        <is>
          <t>Coding Plan 周额度接近耗尽</t>
        </is>
      </c>
      <c r="E9" s="26" t="inlineStr">
        <is>
          <t>页面观察</t>
        </is>
      </c>
      <c r="F9" s="26" t="inlineStr">
        <is>
          <t>本周剩余额度是否够用？</t>
        </is>
      </c>
      <c r="G9" s="26" t="inlineStr">
        <is>
          <t>打开 Kimi/智谱周额度窗口，并与五小时窗口同时核对。</t>
        </is>
      </c>
      <c r="H9" s="26" t="inlineStr">
        <is>
          <t>周窗口和五小时窗口不能合并；厂商原生口径。</t>
        </is>
      </c>
      <c r="I9" s="26" t="inlineStr">
        <is>
          <t>周额度、剩余、利用率和重置时间独立正确展示，并标明数据来源。</t>
        </is>
      </c>
      <c r="J9" s="27" t="inlineStr">
        <is>
          <t>厂商资源 → 厂商额度窗口</t>
        </is>
      </c>
      <c r="K9" s="27" t="inlineStr">
        <is>
          <t>是</t>
        </is>
      </c>
      <c r="L9" s="27" t="inlineStr">
        <is>
          <t>不适用</t>
        </is>
      </c>
      <c r="M9" s="27" t="inlineStr">
        <is>
          <t>有</t>
        </is>
      </c>
      <c r="N9" s="27" t="inlineStr">
        <is>
          <t>是</t>
        </is>
      </c>
      <c r="O9" s="27" t="inlineStr">
        <is>
          <t>Kimi 周额度已用 17/100、剩余 83、重置 2026-08-24 11:16:04；智谱周额度已用 1/100、剩余 99、重置 2026-08-21 17:23:09；两者均显示同步成功。DeepSeek 为 API 计费资源，厂商周窗口不适用。当前值不在临界耗尽区间。</t>
        </is>
      </c>
      <c r="P9" s="27" t="inlineStr">
        <is>
          <t>通过</t>
        </is>
      </c>
      <c r="Q9" s="27" t="inlineStr">
        <is>
          <t>通过</t>
        </is>
      </c>
      <c r="R9" s="27" t="inlineStr">
        <is>
          <t>未分级</t>
        </is>
      </c>
      <c r="S9" s="27" t="inlineStr"/>
      <c r="T9" s="27" t="inlineStr">
        <is>
          <t>/var/folders/bd/x5tqktw96l5cw5r90mvnbty80000gp/T/codex-clipboard-ab74f81b-d1f4-45f7-8e82-fb188186f4be.png</t>
        </is>
      </c>
      <c r="U9" s="27" t="inlineStr"/>
      <c r="V9" s="60" t="inlineStr">
        <is>
          <t>2026-08-18</t>
        </is>
      </c>
      <c r="W9" s="27" t="inlineStr">
        <is>
          <t>未复测</t>
        </is>
      </c>
      <c r="X9" s="27" t="inlineStr">
        <is>
          <t>本条只验收周额度展示，不点击立即同步。</t>
        </is>
      </c>
    </row>
    <row r="10" ht="70" customHeight="1">
      <c r="A10" s="24" t="inlineStr">
        <is>
          <t>CP-06</t>
        </is>
      </c>
      <c r="B10" s="25" t="inlineStr">
        <is>
          <t>持续生产</t>
        </is>
      </c>
      <c r="C10" s="26" t="inlineStr">
        <is>
          <t>现在还能不能用？还能用多久？</t>
        </is>
      </c>
      <c r="D10" s="26" t="inlineStr">
        <is>
          <t>Provider Key 失效或凭证异常</t>
        </is>
      </c>
      <c r="E10" s="26" t="inlineStr">
        <is>
          <t>历史事件/测试环境</t>
        </is>
      </c>
      <c r="F10" s="26" t="inlineStr">
        <is>
          <t>为什么资源突然不可用？</t>
        </is>
      </c>
      <c r="G10" s="26" t="inlineStr">
        <is>
          <t>只在测试资源制造无效凭证，或查看既有凭证异常事件；禁止在生产主资源修改 Key。</t>
        </is>
      </c>
      <c r="H10" s="26" t="inlineStr">
        <is>
          <t>异常原因、失败证据、调度影响、Secret 脱敏和恢复入口。</t>
        </is>
      </c>
      <c r="I10" s="26" t="inlineStr">
        <is>
          <t>资源健康显示凭证异常及影响；不暴露完整 Secret；存在更新凭证或恢复入口。</t>
        </is>
      </c>
      <c r="J10" s="27" t="inlineStr">
        <is>
          <t>厂商资源 → 资源健康与异常</t>
        </is>
      </c>
      <c r="K10" s="27" t="inlineStr">
        <is>
          <t>是</t>
        </is>
      </c>
      <c r="L10" s="27" t="inlineStr">
        <is>
          <t>不适用</t>
        </is>
      </c>
      <c r="M10" s="27" t="inlineStr">
        <is>
          <t>有</t>
        </is>
      </c>
      <c r="N10" s="27" t="inlineStr">
        <is>
          <t>是</t>
        </is>
      </c>
      <c r="O10" s="27" t="inlineStr">
        <is>
          <t>当前 Kimi、DeepSeek、智谱均显示正常；调度影响为正常参与调度；可用性为允许请求；状态原因为恢复正常；恢复说明为资源健康、无需处置。当前没有可观察的凭证失效、连接失败或认证异常事件。</t>
        </is>
      </c>
      <c r="P10" s="27" t="inlineStr">
        <is>
          <t>未测试</t>
        </is>
      </c>
      <c r="Q10" s="27" t="inlineStr">
        <is>
          <t>未测试</t>
        </is>
      </c>
      <c r="R10" s="27" t="inlineStr">
        <is>
          <t>未分级</t>
        </is>
      </c>
      <c r="S10" s="27" t="inlineStr"/>
      <c r="T10" s="27" t="inlineStr">
        <is>
          <t>/var/folders/bd/x5tqktw96l5cw5r90mvnbty80000gp/T/codex-clipboard-e9956f33-5dd5-4d6c-81ce-26ac32e1793b.png</t>
        </is>
      </c>
      <c r="U10" s="27" t="inlineStr"/>
      <c r="V10" s="60" t="inlineStr">
        <is>
          <t>2026-08-18</t>
        </is>
      </c>
      <c r="W10" s="27" t="inlineStr">
        <is>
          <t>未复测</t>
        </is>
      </c>
      <c r="X10" s="27" t="inlineStr">
        <is>
          <t>没有异常样本，不在生产人为制造凭证故障。</t>
        </is>
      </c>
    </row>
    <row r="11" ht="70" customHeight="1">
      <c r="A11" s="24" t="inlineStr">
        <is>
          <t>CP-07</t>
        </is>
      </c>
      <c r="B11" s="25" t="inlineStr">
        <is>
          <t>持续生产</t>
        </is>
      </c>
      <c r="C11" s="26" t="inlineStr">
        <is>
          <t>现在还能不能用？还能用多久？</t>
        </is>
      </c>
      <c r="D11" s="26" t="inlineStr">
        <is>
          <t>主资源连续失败并熔断</t>
        </is>
      </c>
      <c r="E11" s="26" t="inlineStr">
        <is>
          <t>历史事件/测试环境</t>
        </is>
      </c>
      <c r="F11" s="26" t="inlineStr">
        <is>
          <t>业务有没有中断？</t>
        </is>
      </c>
      <c r="G11" s="26" t="inlineStr">
        <is>
          <t>使用既有熔断事件，或在测试资源受控触发连续失败，观察备用资源切换。</t>
        </is>
      </c>
      <c r="H11" s="26" t="inlineStr">
        <is>
          <t>触发信号、影响请求、备用资源、恢复时间和请求证据。</t>
        </is>
      </c>
      <c r="I11" s="26" t="inlineStr">
        <is>
          <t>熔断事件可解释；新请求切到可用备用资源；请求明细可看到真实切换。</t>
        </is>
      </c>
      <c r="J11" s="27" t="inlineStr">
        <is>
          <t>运行保障 → 熔断事件；运行保障 → 可用性规则</t>
        </is>
      </c>
      <c r="K11" s="27" t="inlineStr">
        <is>
          <t>是</t>
        </is>
      </c>
      <c r="L11" s="27" t="inlineStr">
        <is>
          <t>不适用</t>
        </is>
      </c>
      <c r="M11" s="27" t="inlineStr">
        <is>
          <t>有</t>
        </is>
      </c>
      <c r="N11" s="27" t="inlineStr">
        <is>
          <t>是</t>
        </is>
      </c>
      <c r="O11" s="27" t="inlineStr">
        <is>
          <t>熔断事件页已勾选“显示历史事件”，但当前没有熔断事件。可用性规则页有新建草稿表单（上游信号、额度耗尽、硬熔断、固定 10 分钟），当前未看到已发布生效规则，因此没有可触发的熔断事件。</t>
        </is>
      </c>
      <c r="P11" s="27" t="inlineStr">
        <is>
          <t>未测试</t>
        </is>
      </c>
      <c r="Q11" s="27" t="inlineStr">
        <is>
          <t>未测试</t>
        </is>
      </c>
      <c r="R11" s="27" t="inlineStr">
        <is>
          <t>未分级</t>
        </is>
      </c>
      <c r="S11" s="27" t="inlineStr"/>
      <c r="T11" s="27" t="inlineStr">
        <is>
          <t>/var/folders/bd/x5tqktw96l5cw5r90mvnbty80000gp/T/codex-clipboard-682eb686-3ada-453f-86e4-f32ce43b2c9c.png; /var/folders/bd/x5tqktw96l5cw5r90mvnbty80000gp/T/codex-clipboard-ec822513-ce98-49eb-b05b-3b8d38566286.png</t>
        </is>
      </c>
      <c r="U11" s="27" t="inlineStr"/>
      <c r="V11" s="60" t="inlineStr">
        <is>
          <t>2026-08-18</t>
        </is>
      </c>
      <c r="W11" s="27" t="inlineStr">
        <is>
          <t>未复测</t>
        </is>
      </c>
      <c r="X11" s="27" t="inlineStr">
        <is>
          <t>熔断事件依赖已发布可用性规则；未在生产创建或发布规则。</t>
        </is>
      </c>
    </row>
    <row r="12" ht="70" customHeight="1">
      <c r="A12" s="24" t="inlineStr">
        <is>
          <t>CP-08</t>
        </is>
      </c>
      <c r="B12" s="25" t="inlineStr">
        <is>
          <t>持续生产</t>
        </is>
      </c>
      <c r="C12" s="26" t="inlineStr">
        <is>
          <t>现在还能不能用？还能用多久？</t>
        </is>
      </c>
      <c r="D12" s="26" t="inlineStr">
        <is>
          <t>厂商恢复正常</t>
        </is>
      </c>
      <c r="E12" s="26" t="inlineStr">
        <is>
          <t>历史事件/测试环境</t>
        </is>
      </c>
      <c r="F12" s="26" t="inlineStr">
        <is>
          <t>系统什么时候重新使用原资源？</t>
        </is>
      </c>
      <c r="G12" s="26" t="inlineStr">
        <is>
          <t>对照一次已恢复事件，或在测试资源恢复后执行探测与新请求。</t>
        </is>
      </c>
      <c r="H12" s="26" t="inlineStr">
        <is>
          <t>自动/人工恢复、探测结果、恢复时间、候选集恢复。</t>
        </is>
      </c>
      <c r="I12" s="26" t="inlineStr">
        <is>
          <t>恢复记录完整；探测通过后新请求重新进入候选；历史请求不被改写。</t>
        </is>
      </c>
      <c r="J12" s="27" t="inlineStr">
        <is>
          <t>运行保障 → 异常中心</t>
        </is>
      </c>
      <c r="K12" s="27" t="inlineStr">
        <is>
          <t>是</t>
        </is>
      </c>
      <c r="L12" s="27" t="inlineStr">
        <is>
          <t>不适用</t>
        </is>
      </c>
      <c r="M12" s="27" t="inlineStr">
        <is>
          <t>有</t>
        </is>
      </c>
      <c r="N12" s="27" t="inlineStr">
        <is>
          <t>是</t>
        </is>
      </c>
      <c r="O12" s="27" t="inlineStr">
        <is>
          <t>异常中心存在多条“运行保障预警 · AUTO_RESOLVED”，原因包括上游技术故障、上游配置错误；同时存在“主体额度使用异常 · OPEN”（额度使用率 119.8%，超额 1971477）。AUTO_RESOLVED 卡片不能展开，无法查看事件时间、恢复时间、影响资源、影响请求和恢复后放行结果。</t>
        </is>
      </c>
      <c r="P12" s="27" t="inlineStr">
        <is>
          <t>解释缺口</t>
        </is>
      </c>
      <c r="Q12" s="27" t="inlineStr">
        <is>
          <t>待确认</t>
        </is>
      </c>
      <c r="R12" s="27" t="inlineStr">
        <is>
          <t>未分级</t>
        </is>
      </c>
      <c r="S12" s="27" t="inlineStr"/>
      <c r="T12" s="27" t="inlineStr">
        <is>
          <t>/var/folders/bd/x5tqktw96l5cw5r90mvnbty80000gp/T/codex-clipboard-7b4db767-873b-4b2d-9cbe-6010c4270001.png</t>
        </is>
      </c>
      <c r="U12" s="27" t="inlineStr"/>
      <c r="V12" s="60" t="inlineStr">
        <is>
          <t>2026-08-18</t>
        </is>
      </c>
      <c r="W12" s="27" t="inlineStr">
        <is>
          <t>未复测</t>
        </is>
      </c>
      <c r="X12" s="27" t="inlineStr">
        <is>
          <t>有恢复状态，但缺少恢复过程与证据下钻。不要点击“标记已处理”。</t>
        </is>
      </c>
    </row>
    <row r="13" ht="70" customHeight="1">
      <c r="A13" s="24" t="inlineStr">
        <is>
          <t>CP-09</t>
        </is>
      </c>
      <c r="B13" s="25" t="inlineStr">
        <is>
          <t>持续生产</t>
        </is>
      </c>
      <c r="C13" s="26" t="inlineStr">
        <is>
          <t>现在还能不能用？还能用多久？</t>
        </is>
      </c>
      <c r="D13" s="26" t="inlineStr">
        <is>
          <t>厂商数据长时间未同步</t>
        </is>
      </c>
      <c r="E13" s="26" t="inlineStr">
        <is>
          <t>页面观察</t>
        </is>
      </c>
      <c r="F13" s="26" t="inlineStr">
        <is>
          <t>页面剩余额度还能相信吗？</t>
        </is>
      </c>
      <c r="G13" s="26" t="inlineStr">
        <is>
          <t>查找一个过期快照或断开测试同步源，查看资源利用和供给预测。</t>
        </is>
      </c>
      <c r="H13" s="26" t="inlineStr">
        <is>
          <t>STALE/不可计算、数据时间、原因；不得伪造 0 或精确日期。</t>
        </is>
      </c>
      <c r="I13" s="26" t="inlineStr">
        <is>
          <t>明确显示数据过期或不可计算及原因；不显示虚假 0%、余额或耗尽日期。</t>
        </is>
      </c>
      <c r="J13" s="27" t="inlineStr">
        <is>
          <t>厂商资源 → 资源利用事实</t>
        </is>
      </c>
      <c r="K13" s="27" t="inlineStr">
        <is>
          <t>是</t>
        </is>
      </c>
      <c r="L13" s="27" t="inlineStr">
        <is>
          <t>不适用</t>
        </is>
      </c>
      <c r="M13" s="27" t="inlineStr">
        <is>
          <t>有</t>
        </is>
      </c>
      <c r="N13" s="27" t="inlineStr">
        <is>
          <t>是</t>
        </is>
      </c>
      <c r="O13" s="27" t="inlineStr">
        <is>
          <t>Kimi、智谱的利用依据显示 CODING_PLAN_WEEKLY_STALE；DeepSeek 显示 MONTHLY_BUDGET_NOT_CONFIGURED，且数据时间可见。未知分母、窗口过期和预算未设置均没有伪造成 0%，并保留相应说明。</t>
        </is>
      </c>
      <c r="P13" s="27" t="inlineStr">
        <is>
          <t>通过</t>
        </is>
      </c>
      <c r="Q13" s="27" t="inlineStr">
        <is>
          <t>通过</t>
        </is>
      </c>
      <c r="R13" s="27" t="inlineStr">
        <is>
          <t>未分级</t>
        </is>
      </c>
      <c r="S13" s="27" t="inlineStr"/>
      <c r="T13" s="27" t="inlineStr">
        <is>
          <t>/var/folders/bd/x5tqktw96l5cw5r90mvnbty80000gp/T/codex-clipboard-9eeea186-7c57-48ed-ab1f-08ceadb4e54e.png</t>
        </is>
      </c>
      <c r="U13" s="27" t="inlineStr"/>
      <c r="V13" s="60" t="inlineStr">
        <is>
          <t>2026-08-18</t>
        </is>
      </c>
      <c r="W13" s="27" t="inlineStr">
        <is>
          <t>未复测</t>
        </is>
      </c>
      <c r="X13" s="27" t="inlineStr">
        <is>
          <t>本条通过展示层核验；自动同步新鲜度问题另记 POOL20-025。</t>
        </is>
      </c>
    </row>
    <row r="14" ht="70" customHeight="1">
      <c r="A14" s="24" t="inlineStr">
        <is>
          <t>CP-10</t>
        </is>
      </c>
      <c r="B14" s="25" t="inlineStr">
        <is>
          <t>持续生产</t>
        </is>
      </c>
      <c r="C14" s="26" t="inlineStr">
        <is>
          <t>现在还能不能用？还能用多久？</t>
        </is>
      </c>
      <c r="D14" s="26" t="inlineStr">
        <is>
          <t>某项资源连续多天没有请求</t>
        </is>
      </c>
      <c r="E14" s="26" t="inlineStr">
        <is>
          <t>页面观察</t>
        </is>
      </c>
      <c r="F14" s="26" t="inlineStr">
        <is>
          <t>这个资源是不是买闲了？</t>
        </is>
      </c>
      <c r="G14" s="26" t="inlineStr">
        <is>
          <t>打开资源利用概况和采购复盘，选择最近无请求的资源。</t>
        </is>
      </c>
      <c r="H14" s="26" t="inlineStr">
        <is>
          <t>最近使用、连续无调用天数、利用率、自动闲置结论和页面一致性。</t>
        </is>
      </c>
      <c r="I14" s="26" t="inlineStr">
        <is>
          <t>展示最近使用与连续无调用天数；未冻结阈值时显示“未判定”；采购复盘一致。</t>
        </is>
      </c>
      <c r="J14" s="27" t="inlineStr">
        <is>
          <t>厂商资源 → 资源利用事实</t>
        </is>
      </c>
      <c r="K14" s="27" t="inlineStr">
        <is>
          <t>是</t>
        </is>
      </c>
      <c r="L14" s="27" t="inlineStr">
        <is>
          <t>不适用</t>
        </is>
      </c>
      <c r="M14" s="27" t="inlineStr">
        <is>
          <t>有</t>
        </is>
      </c>
      <c r="N14" s="27" t="inlineStr">
        <is>
          <t>是</t>
        </is>
      </c>
      <c r="O14" s="27" t="inlineStr">
        <is>
          <t>页面展示最近使用时间和连续无调用天数：Kimi 0 天、DeepSeek 0 天、智谱 1 天；闲置状态显示“未判定”，没有仅因 Token 少自动断言闲置。当前样本没有连续多日无调用资源，未覆盖长期闲置样本。</t>
        </is>
      </c>
      <c r="P14" s="27" t="inlineStr">
        <is>
          <t>未测试</t>
        </is>
      </c>
      <c r="Q14" s="27" t="inlineStr">
        <is>
          <t>待确认</t>
        </is>
      </c>
      <c r="R14" s="27" t="inlineStr">
        <is>
          <t>未分级</t>
        </is>
      </c>
      <c r="S14" s="27" t="inlineStr"/>
      <c r="T14" s="27" t="inlineStr">
        <is>
          <t>/var/folders/bd/x5tqktw96l5cw5r90mvnbty80000gp/T/codex-clipboard-9eeea186-7c57-48ed-ab1f-08ceadb4e54e.png</t>
        </is>
      </c>
      <c r="U14" s="27" t="inlineStr"/>
      <c r="V14" s="60" t="inlineStr">
        <is>
          <t>2026-08-18</t>
        </is>
      </c>
      <c r="W14" s="27" t="inlineStr">
        <is>
          <t>未复测</t>
        </is>
      </c>
      <c r="X14" s="27" t="inlineStr">
        <is>
          <t>字段展示通过；当前没有多日无调用样本，不能完成长期闲置行为验证。</t>
        </is>
      </c>
    </row>
    <row r="15" ht="70" customHeight="1">
      <c r="A15" s="29" t="inlineStr">
        <is>
          <t>UC-01</t>
        </is>
      </c>
      <c r="B15" s="30" t="inlineStr">
        <is>
          <t>按量消耗</t>
        </is>
      </c>
      <c r="C15" s="26" t="inlineStr">
        <is>
          <t>谁用了？用了多少？用在哪里？</t>
        </is>
      </c>
      <c r="D15" s="26" t="inlineStr">
        <is>
          <t>查看单个员工本日用量</t>
        </is>
      </c>
      <c r="E15" s="26" t="inlineStr">
        <is>
          <t>真实请求/数据对账</t>
        </is>
      </c>
      <c r="F15" s="26" t="inlineStr">
        <is>
          <t>李佳今天具体用了多少？</t>
        </is>
      </c>
      <c r="G15" s="26" t="inlineStr">
        <is>
          <t>在用量概览选择一个员工和“今日”，再下钻请求明细。</t>
        </is>
      </c>
      <c r="H15" s="26" t="inlineStr">
        <is>
          <t>请求数、输入、输出、真实 Token、费用、趋势和筛选范围。</t>
        </is>
      </c>
      <c r="I15" s="26" t="inlineStr">
        <is>
          <t>只统计该员工今日数据；趋势与请求明细汇总守恒。</t>
        </is>
      </c>
      <c r="J15" s="27" t="inlineStr">
        <is>
          <t>用量账本 → 用量概览；请求明细</t>
        </is>
      </c>
      <c r="K15" s="27" t="inlineStr">
        <is>
          <t>是</t>
        </is>
      </c>
      <c r="L15" s="27" t="inlineStr">
        <is>
          <t>是</t>
        </is>
      </c>
      <c r="M15" s="27" t="inlineStr">
        <is>
          <t>有</t>
        </is>
      </c>
      <c r="N15" s="27" t="inlineStr">
        <is>
          <t>是</t>
        </is>
      </c>
      <c r="O15" s="27" t="inlineStr">
        <is>
          <t>李佳今日（2026-08-18）活跃主体 1、请求 3、真实 Token 29,422、API ¥0.00、套餐扣减 29,422；独立请求明细按主体和 2026-08-18 12:49～18:49 筛选后共 3 条，输入 28,607+435+87，输出 183+64+46，扣减 28,790+499+133，合计真实 Token 29,422。</t>
        </is>
      </c>
      <c r="P15" s="27" t="inlineStr">
        <is>
          <t>通过</t>
        </is>
      </c>
      <c r="Q15" s="27" t="inlineStr">
        <is>
          <t>通过</t>
        </is>
      </c>
      <c r="R15" s="27" t="inlineStr">
        <is>
          <t>未分级</t>
        </is>
      </c>
      <c r="S15" s="27" t="inlineStr"/>
      <c r="T15" s="27" t="inlineStr">
        <is>
          <t>/var/folders/bd/x5tqktw96l5cw5r90mvnbty80000gp/T/codex-clipboard-89202030-b976-48c3-83a7-220fbd8e2411.png; /var/folders/bd/x5tqktw96l5cw5r90mvnbty80000gp/T/codex-clipboard-419af6e3-705e-4792-a7b7-0d8e32518c30.png</t>
        </is>
      </c>
      <c r="U15" s="27" t="inlineStr"/>
      <c r="V15" s="60" t="inlineStr">
        <is>
          <t>2026-08-18</t>
        </is>
      </c>
      <c r="W15" s="27" t="inlineStr">
        <is>
          <t>未复测</t>
        </is>
      </c>
      <c r="X15" s="27" t="inlineStr">
        <is>
          <t>请求明细是独立页，按自身时间筛选核验，不要求自动继承概览日期。</t>
        </is>
      </c>
    </row>
    <row r="16" ht="70" customHeight="1">
      <c r="A16" s="29" t="inlineStr">
        <is>
          <t>UC-02</t>
        </is>
      </c>
      <c r="B16" s="30" t="inlineStr">
        <is>
          <t>按量消耗</t>
        </is>
      </c>
      <c r="C16" s="26" t="inlineStr">
        <is>
          <t>谁用了？用了多少？用在哪里？</t>
        </is>
      </c>
      <c r="D16" s="26" t="inlineStr">
        <is>
          <t>查看单个员工一周用量</t>
        </is>
      </c>
      <c r="E16" s="26" t="inlineStr">
        <is>
          <t>数据对账</t>
        </is>
      </c>
      <c r="F16" s="26" t="inlineStr">
        <is>
          <t>该员工周一到周日每天用了多少？</t>
        </is>
      </c>
      <c r="G16" s="26" t="inlineStr">
        <is>
          <t>选择单个员工和“本周”，逐日记录七天数据并汇总。</t>
        </is>
      </c>
      <c r="H16" s="26" t="inlineStr">
        <is>
          <t>周一至周日边界、七天趋势、总量和请求下钻。</t>
        </is>
      </c>
      <c r="I16" s="26" t="inlineStr">
        <is>
          <t>七天趋势之和等于本周总量；不混入其他员工；可进入请求明细。</t>
        </is>
      </c>
      <c r="J16" s="27" t="inlineStr">
        <is>
          <t>用量账本 → 用量概览；请求明细</t>
        </is>
      </c>
      <c r="K16" s="27" t="inlineStr">
        <is>
          <t>是</t>
        </is>
      </c>
      <c r="L16" s="27" t="inlineStr">
        <is>
          <t>是</t>
        </is>
      </c>
      <c r="M16" s="27" t="inlineStr">
        <is>
          <t>有</t>
        </is>
      </c>
      <c r="N16" s="27" t="inlineStr">
        <is>
          <t>是</t>
        </is>
      </c>
      <c r="O16" s="27" t="inlineStr">
        <is>
          <t>李佳本周（2026-08-17～2026-08-24）请求 258、真实 Token 13,493,147、API ¥0.00、套餐扣减 13,493,147；趋势周一 13,463,725、周二 29,422，合计一致。请求明细按周范围显示 258 条、13 页；明细页以逐条请求为主，不要求显示筛选结果 Token 总计。</t>
        </is>
      </c>
      <c r="P16" s="27" t="inlineStr">
        <is>
          <t>通过</t>
        </is>
      </c>
      <c r="Q16" s="27" t="inlineStr">
        <is>
          <t>通过</t>
        </is>
      </c>
      <c r="R16" s="27" t="inlineStr">
        <is>
          <t>未分级</t>
        </is>
      </c>
      <c r="S16" s="27" t="inlineStr"/>
      <c r="T16" s="27" t="inlineStr">
        <is>
          <t>/var/folders/bd/x5tqktw96l5cw5r90mvnbty80000gp/T/codex-clipboard-41aef76f-8936-4060-88ca-6b124af0a2e6.png; /var/folders/bd/x5tqktw96l5cw5r90mvnbty80000gp/T/codex-clipboard-ec87f106-3b13-4377-8b09-a2b7e53b677b.png</t>
        </is>
      </c>
      <c r="U16" s="27" t="inlineStr"/>
      <c r="V16" s="60" t="inlineStr">
        <is>
          <t>2026-08-18</t>
        </is>
      </c>
      <c r="W16" s="27" t="inlineStr">
        <is>
          <t>未复测</t>
        </is>
      </c>
      <c r="X16" s="27" t="inlineStr">
        <is>
          <t>未来日期没有数据属于正常；请求明细按独立页的条数和逐行数据核验。</t>
        </is>
      </c>
    </row>
    <row r="17" ht="70" customHeight="1">
      <c r="A17" s="29" t="inlineStr">
        <is>
          <t>UC-03</t>
        </is>
      </c>
      <c r="B17" s="30" t="inlineStr">
        <is>
          <t>按量消耗</t>
        </is>
      </c>
      <c r="C17" s="26" t="inlineStr">
        <is>
          <t>谁用了？用了多少？用在哪里？</t>
        </is>
      </c>
      <c r="D17" s="26" t="inlineStr">
        <is>
          <t>查看全体员工月度用量</t>
        </is>
      </c>
      <c r="E17" s="26" t="inlineStr">
        <is>
          <t>数据对账</t>
        </is>
      </c>
      <c r="F17" s="26" t="inlineStr">
        <is>
          <t>全公司员工一共用了多少？</t>
        </is>
      </c>
      <c r="G17" s="26" t="inlineStr">
        <is>
          <t>选择全部员工和本月；测试姓名搜索、厂商筛选、分页及筛选后合计。</t>
        </is>
      </c>
      <c r="H17" s="26" t="inlineStr">
        <is>
          <t>全体合计、明细之和、100 人可检索性和服务端合计。</t>
        </is>
      </c>
      <c r="I17" s="26" t="inlineStr">
        <is>
          <t>全部员工合计等于可见员工明细之和；搜索、筛选、分页和合计一致。</t>
        </is>
      </c>
      <c r="J17" s="27" t="inlineStr">
        <is>
          <t>用量账本 → 用量概览 → 员工</t>
        </is>
      </c>
      <c r="K17" s="27" t="inlineStr">
        <is>
          <t>是</t>
        </is>
      </c>
      <c r="L17" s="27" t="inlineStr">
        <is>
          <t>部分</t>
        </is>
      </c>
      <c r="M17" s="27" t="inlineStr">
        <is>
          <t>有</t>
        </is>
      </c>
      <c r="N17" s="27" t="inlineStr">
        <is>
          <t>是</t>
        </is>
      </c>
      <c r="O17" s="27" t="inlineStr">
        <is>
          <t>全部员工本月活跃主体 5、请求 5,833、真实 Token 566,544,179、API ¥17.06、套餐扣减 383,954,524；排名请求与 Token 合计一致。输入“王涛”并按 Enter 后，员工仍为“全部员工”，指标未变化，搜索条件没有执行。</t>
        </is>
      </c>
      <c r="P17" s="27" t="inlineStr">
        <is>
          <t>闭环缺口</t>
        </is>
      </c>
      <c r="Q17" s="27" t="inlineStr">
        <is>
          <t>不通过</t>
        </is>
      </c>
      <c r="R17" s="27" t="inlineStr">
        <is>
          <t>未分级</t>
        </is>
      </c>
      <c r="S17" s="27" t="inlineStr"/>
      <c r="T17" s="27" t="inlineStr">
        <is>
          <t>/var/folders/bd/x5tqktw96l5cw5r90mvnbty80000gp/T/codex-clipboard-bef998b6-9ea8-49e0-96dd-84c8b93cf892.png; /var/folders/bd/x5tqktw96l5cw5r90mvnbty80000gp/T/codex-clipboard-da6f560c-ba2e-4514-a089-6d9a3acbee21.png; /var/folders/bd/x5tqktw96l5cw5r90mvnbty80000gp/T/codex-clipboard-664f7dd1-550e-4369-b432-abe7c6be06a2.png</t>
        </is>
      </c>
      <c r="U17" s="27" t="inlineStr"/>
      <c r="V17" s="60" t="inlineStr">
        <is>
          <t>2026-08-18</t>
        </is>
      </c>
      <c r="W17" s="27" t="inlineStr">
        <is>
          <t>未复测</t>
        </is>
      </c>
      <c r="X17" s="27" t="inlineStr">
        <is>
          <t>聚合结果正确；员工搜索输入+Enter没有执行。API 费用顶部 ¥17.06 与行级两位小数合计 ¥17.05 的差异仍待精度核验。</t>
        </is>
      </c>
    </row>
    <row r="18" ht="70" customHeight="1">
      <c r="A18" s="29" t="inlineStr">
        <is>
          <t>UC-04</t>
        </is>
      </c>
      <c r="B18" s="30" t="inlineStr">
        <is>
          <t>按量消耗</t>
        </is>
      </c>
      <c r="C18" s="26" t="inlineStr">
        <is>
          <t>谁用了？用了多少？用在哪里？</t>
        </is>
      </c>
      <c r="D18" s="26" t="inlineStr">
        <is>
          <t>查看项目直接用量</t>
        </is>
      </c>
      <c r="E18" s="26" t="inlineStr">
        <is>
          <t>数据对账</t>
        </is>
      </c>
      <c r="F18" s="26" t="inlineStr">
        <is>
          <t>某个项目自身消耗了多少？</t>
        </is>
      </c>
      <c r="G18" s="26" t="inlineStr">
        <is>
          <t>在项目账选择有直接项目请求的项目，下钻模型和请求。</t>
        </is>
      </c>
      <c r="H18" s="26" t="inlineStr">
        <is>
          <t>项目 Principal、负责人、归属部门、Token、API 费用和套餐分摊。</t>
        </is>
      </c>
      <c r="I18" s="26" t="inlineStr">
        <is>
          <t>项目直接请求完整计入项目账；汇总可追溯到模型和请求。</t>
        </is>
      </c>
      <c r="J18" s="27" t="inlineStr">
        <is>
          <t>用量账本 → 用量概览 → 项目</t>
        </is>
      </c>
      <c r="K18" s="27" t="inlineStr">
        <is>
          <t>是</t>
        </is>
      </c>
      <c r="L18" s="27" t="inlineStr">
        <is>
          <t>是</t>
        </is>
      </c>
      <c r="M18" s="27" t="inlineStr">
        <is>
          <t>有</t>
        </is>
      </c>
      <c r="N18" s="27" t="inlineStr">
        <is>
          <t>是</t>
        </is>
      </c>
      <c r="O18" s="27" t="inlineStr">
        <is>
          <t>全部项目请求 325、真实 Token 603,222、API ¥0.28、套餐扣减 305；compass 单项目请求 324、真实 Token 602,917、API ¥0.28、套餐扣减 0；排名、趋势和顶部指标一致。</t>
        </is>
      </c>
      <c r="P18" s="27" t="inlineStr">
        <is>
          <t>通过</t>
        </is>
      </c>
      <c r="Q18" s="27" t="inlineStr">
        <is>
          <t>通过</t>
        </is>
      </c>
      <c r="R18" s="27" t="inlineStr">
        <is>
          <t>未分级</t>
        </is>
      </c>
      <c r="S18" s="27" t="inlineStr"/>
      <c r="T18" s="27" t="inlineStr">
        <is>
          <t>/var/folders/bd/x5tqktw96l5cw5r90mvnbty80000gp/T/codex-clipboard-221b8325-c297-45c7-8574-fdee251b3189.png; /var/folders/bd/x5tqktw96l5cw5r90mvnbty80000gp/T/codex-clipboard-d2bf16bb-5f8f-4a9b-b159-a45d5f25763f.png</t>
        </is>
      </c>
      <c r="U18" s="27" t="inlineStr"/>
      <c r="V18" s="60" t="inlineStr">
        <is>
          <t>2026-08-18</t>
        </is>
      </c>
      <c r="W18" s="27" t="inlineStr">
        <is>
          <t>未复测</t>
        </is>
      </c>
      <c r="X18" s="27" t="inlineStr">
        <is>
          <t>项目负责人和归属部门属于项目账，不在用量概览中要求展示。</t>
        </is>
      </c>
    </row>
    <row r="19" ht="70" customHeight="1">
      <c r="A19" s="29" t="inlineStr">
        <is>
          <t>UC-05</t>
        </is>
      </c>
      <c r="B19" s="30" t="inlineStr">
        <is>
          <t>按量消耗</t>
        </is>
      </c>
      <c r="C19" s="26" t="inlineStr">
        <is>
          <t>谁用了？用了多少？用在哪里？</t>
        </is>
      </c>
      <c r="D19" s="26" t="inlineStr">
        <is>
          <t>员工请求显式归入项目</t>
        </is>
      </c>
      <c r="E19" s="26" t="inlineStr">
        <is>
          <t>数据对账</t>
        </is>
      </c>
      <c r="F19" s="26" t="inlineStr">
        <is>
          <t>这笔请求算员工还是算项目？</t>
        </is>
      </c>
      <c r="G19" s="26" t="inlineStr">
        <is>
          <t>选择一笔员工发起且显式归入项目的请求，对照员工账、项目账和部门账。</t>
        </is>
      </c>
      <c r="H19" s="26" t="inlineStr">
        <is>
          <t>分析视图可重复查看，但部门成本只能归集一次。</t>
        </is>
      </c>
      <c r="I19" s="26" t="inlineStr">
        <is>
          <t>员工账和项目账都可见；部门账只按项目部门计入一次，不重复成本。</t>
        </is>
      </c>
      <c r="J19" s="27" t="inlineStr">
        <is>
          <t>经营账单 → 项目账 → 请求归属项目</t>
        </is>
      </c>
      <c r="K19" s="27" t="inlineStr">
        <is>
          <t>是</t>
        </is>
      </c>
      <c r="L19" s="27" t="inlineStr">
        <is>
          <t>不适用</t>
        </is>
      </c>
      <c r="M19" s="27" t="inlineStr">
        <is>
          <t>有</t>
        </is>
      </c>
      <c r="N19" s="27" t="inlineStr">
        <is>
          <t>是</t>
        </is>
      </c>
      <c r="O19" s="27" t="inlineStr">
        <is>
          <t>页面提供请求 UUID、项目选择和保存归属入口；当前没有可供只读核验的“员工请求未归项目但明确应归某项目”真实样本，项目负责人为空、请求时点归属部门为待归属。复制 UUID 后随意选择项目不构成测试，未执行保存写入。</t>
        </is>
      </c>
      <c r="P19" s="27" t="inlineStr">
        <is>
          <t>未测试</t>
        </is>
      </c>
      <c r="Q19" s="27" t="inlineStr">
        <is>
          <t>待确认</t>
        </is>
      </c>
      <c r="R19" s="27" t="inlineStr">
        <is>
          <t>未分级</t>
        </is>
      </c>
      <c r="S19" s="27" t="inlineStr"/>
      <c r="T19" s="27" t="inlineStr">
        <is>
          <t>/var/folders/bd/x5tqktw96l5cw5r90mvnbty80000gp/T/codex-clipboard-0a46238d-6f4c-426b-905a-3a1ede07d661.png; /var/folders/bd/x5tqktw96l5cw5r90mvnbty80000gp/T/codex-clipboard-76552700-d343-45a5-a7fe-868bc0bf2ea6.png</t>
        </is>
      </c>
      <c r="U19" s="27" t="inlineStr"/>
      <c r="V19" s="60" t="inlineStr">
        <is>
          <t>2026-08-18</t>
        </is>
      </c>
      <c r="W19" s="27" t="inlineStr">
        <is>
          <t>未复测</t>
        </is>
      </c>
      <c r="X19" s="27" t="inlineStr">
        <is>
          <t>归属修正是写操作；需有真实待归属样本或测试夹具，且保存前应展示请求预览。</t>
        </is>
      </c>
    </row>
    <row r="20" ht="70" customHeight="1">
      <c r="A20" s="29" t="inlineStr">
        <is>
          <t>UC-06</t>
        </is>
      </c>
      <c r="B20" s="30" t="inlineStr">
        <is>
          <t>按量消耗</t>
        </is>
      </c>
      <c r="C20" s="26" t="inlineStr">
        <is>
          <t>谁用了？用了多少？用在哪里？</t>
        </is>
      </c>
      <c r="D20" s="26" t="inlineStr">
        <is>
          <t>员工请求未归入项目</t>
        </is>
      </c>
      <c r="E20" s="26" t="inlineStr">
        <is>
          <t>数据对账</t>
        </is>
      </c>
      <c r="F20" s="26" t="inlineStr">
        <is>
          <t>这笔成本归到哪里？</t>
        </is>
      </c>
      <c r="G20" s="26" t="inlineStr">
        <is>
          <t>选择一笔未关联项目的员工请求，对照员工主部门和部门账。</t>
        </is>
      </c>
      <c r="H20" s="26" t="inlineStr">
        <is>
          <t>请求发生时员工主部门、员工直接成本和下钻证据。</t>
        </is>
      </c>
      <c r="I20" s="26" t="inlineStr">
        <is>
          <t>按请求时点主部门计入员工直接成本；可下钻回员工和请求。</t>
        </is>
      </c>
      <c r="J20" s="27" t="inlineStr">
        <is>
          <t>经营账单 → 部门账</t>
        </is>
      </c>
      <c r="K20" s="27" t="inlineStr">
        <is>
          <t>是</t>
        </is>
      </c>
      <c r="L20" s="27" t="inlineStr">
        <is>
          <t>不适用</t>
        </is>
      </c>
      <c r="M20" s="27" t="inlineStr">
        <is>
          <t>有</t>
        </is>
      </c>
      <c r="N20" s="27" t="inlineStr">
        <is>
          <t>是</t>
        </is>
      </c>
      <c r="O20" s="27" t="inlineStr">
        <is>
          <t>当前没有导入部门，企业成本、API 费用和归集守恒显示未知；全部 567,161,998 Token 进入“待归属”，并明确显示 DEPARTMENT_UNASSIGNED、ATTRIBUTION_SNAPSHOT_MISSING、UNALLOCATED_PACKAGE_COST、API_COST_UNKNOWN。系统未将成本猜分到部门。</t>
        </is>
      </c>
      <c r="P20" s="27" t="inlineStr">
        <is>
          <t>未测试</t>
        </is>
      </c>
      <c r="Q20" s="27" t="inlineStr">
        <is>
          <t>待确认</t>
        </is>
      </c>
      <c r="R20" s="27" t="inlineStr">
        <is>
          <t>未分级</t>
        </is>
      </c>
      <c r="S20" s="27" t="inlineStr"/>
      <c r="T20" s="27" t="inlineStr">
        <is>
          <t>/var/folders/bd/x5tqktw96l5cw5r90mvnbty80000gp/T/codex-clipboard-0811d50a-6f30-49a9-819f-4c137797d13c.png</t>
        </is>
      </c>
      <c r="U20" s="27" t="inlineStr"/>
      <c r="V20" s="60" t="inlineStr">
        <is>
          <t>2026-08-18</t>
        </is>
      </c>
      <c r="W20" s="27" t="inlineStr">
        <is>
          <t>未复测</t>
        </is>
      </c>
      <c r="X20" s="27" t="inlineStr">
        <is>
          <t>需先导入企业微信/飞书组织数据，再验证员工直接成本归属。</t>
        </is>
      </c>
    </row>
    <row r="21" ht="70" customHeight="1">
      <c r="A21" s="29" t="inlineStr">
        <is>
          <t>UC-07</t>
        </is>
      </c>
      <c r="B21" s="30" t="inlineStr">
        <is>
          <t>按量消耗</t>
        </is>
      </c>
      <c r="C21" s="26" t="inlineStr">
        <is>
          <t>谁用了？用了多少？用在哪里？</t>
        </is>
      </c>
      <c r="D21" s="26" t="inlineStr">
        <is>
          <t>员工中途调岗</t>
        </is>
      </c>
      <c r="E21" s="26" t="inlineStr">
        <is>
          <t>历史账核验</t>
        </is>
      </c>
      <c r="F21" s="26" t="inlineStr">
        <is>
          <t>调岗前成本会不会被挪到新部门？</t>
        </is>
      </c>
      <c r="G21" s="26" t="inlineStr">
        <is>
          <t>选择有调岗记录的员工，对照调岗前后请求与已关闭月份。</t>
        </is>
      </c>
      <c r="H21" s="26" t="inlineStr">
        <is>
          <t>时点归属、历史账不可变、调岗前后部门。</t>
        </is>
      </c>
      <c r="I21" s="26" t="inlineStr">
        <is>
          <t>调岗前请求留在原部门，调岗后进入新部门；历史账不被当前组织关系改写。</t>
        </is>
      </c>
      <c r="J21" s="27" t="inlineStr">
        <is>
          <t>运行保障 → 熔断事件；可用性规则</t>
        </is>
      </c>
      <c r="K21" s="27" t="inlineStr">
        <is>
          <t>是</t>
        </is>
      </c>
      <c r="L21" s="27" t="inlineStr">
        <is>
          <t>不适用</t>
        </is>
      </c>
      <c r="M21" s="27" t="inlineStr">
        <is>
          <t>有</t>
        </is>
      </c>
      <c r="N21" s="27" t="inlineStr">
        <is>
          <t>是</t>
        </is>
      </c>
      <c r="O21" s="27" t="inlineStr">
        <is>
          <t>熔断事件页显示历史事件为空；可用性规则页只有新建草稿入口，未看到已发布规则。没有可用于验证连续失败、切换和熔断的真实事件。</t>
        </is>
      </c>
      <c r="P21" s="27" t="inlineStr">
        <is>
          <t>未测试</t>
        </is>
      </c>
      <c r="Q21" s="27" t="inlineStr">
        <is>
          <t>未测试</t>
        </is>
      </c>
      <c r="R21" s="27" t="inlineStr">
        <is>
          <t>未分级</t>
        </is>
      </c>
      <c r="S21" s="27" t="inlineStr"/>
      <c r="T21" s="27" t="inlineStr">
        <is>
          <t>/var/folders/bd/x5tqktw96l5cw5r90mvnbty80000gp/T/codex-clipboard-682eb686-3ada-453f-86e4-f32ce43b2c9c.png; /var/folders/bd/x5tqktw96l5cw5r90mvnbty80000gp/T/codex-clipboard-ec822513-ce98-49eb-b05b-3b8d38566286.png</t>
        </is>
      </c>
      <c r="U21" s="27" t="inlineStr"/>
      <c r="V21" s="60" t="inlineStr">
        <is>
          <t>2026-08-18</t>
        </is>
      </c>
      <c r="W21" s="27" t="inlineStr">
        <is>
          <t>未复测</t>
        </is>
      </c>
      <c r="X21" s="27" t="inlineStr">
        <is>
          <t>无已发布规则和历史事件，不在生产制造故障。</t>
        </is>
      </c>
    </row>
    <row r="22" ht="70" customHeight="1">
      <c r="A22" s="29" t="inlineStr">
        <is>
          <t>UC-08</t>
        </is>
      </c>
      <c r="B22" s="30" t="inlineStr">
        <is>
          <t>按量消耗</t>
        </is>
      </c>
      <c r="C22" s="26" t="inlineStr">
        <is>
          <t>谁用了？用了多少？用在哪里？</t>
        </is>
      </c>
      <c r="D22" s="26" t="inlineStr">
        <is>
          <t>员工或项目缺少组织关系</t>
        </is>
      </c>
      <c r="E22" s="26" t="inlineStr">
        <is>
          <t>数据对账</t>
        </is>
      </c>
      <c r="F22" s="26" t="inlineStr">
        <is>
          <t>系统不知道归哪个部门怎么办？</t>
        </is>
      </c>
      <c r="G22" s="26" t="inlineStr">
        <is>
          <t>查找待归属记录，并核对企业总成本、已归属部门和待归属。</t>
        </is>
      </c>
      <c r="H22" s="26" t="inlineStr">
        <is>
          <t>不得按姓名或当前负责人猜测；成本守恒。</t>
        </is>
      </c>
      <c r="I22" s="26" t="inlineStr">
        <is>
          <t>进入“待归属”；全部部门成本＋待归属＝企业当月总成本。</t>
        </is>
      </c>
      <c r="J22" s="27" t="inlineStr">
        <is>
          <t>运行保障 → 异常中心</t>
        </is>
      </c>
      <c r="K22" s="27" t="inlineStr">
        <is>
          <t>是</t>
        </is>
      </c>
      <c r="L22" s="27" t="inlineStr">
        <is>
          <t>不适用</t>
        </is>
      </c>
      <c r="M22" s="27" t="inlineStr">
        <is>
          <t>有</t>
        </is>
      </c>
      <c r="N22" s="27" t="inlineStr">
        <is>
          <t>是</t>
        </is>
      </c>
      <c r="O22" s="27" t="inlineStr">
        <is>
          <t>存在多条运行保障预警 AUTO_RESOLVED（上游技术故障、上游配置错误），同时有主体额度使用异常 OPEN。AUTO_RESOLVED 卡片无法展开，缺少事件时间、恢复时间、影响资源、影响请求和恢复后放行证据。</t>
        </is>
      </c>
      <c r="P22" s="27" t="inlineStr">
        <is>
          <t>解释缺口</t>
        </is>
      </c>
      <c r="Q22" s="27" t="inlineStr">
        <is>
          <t>待确认</t>
        </is>
      </c>
      <c r="R22" s="27" t="inlineStr">
        <is>
          <t>未分级</t>
        </is>
      </c>
      <c r="S22" s="27" t="inlineStr"/>
      <c r="T22" s="27" t="inlineStr">
        <is>
          <t>/var/folders/bd/x5tqktw96l5cw5r90mvnbty80000gp/T/codex-clipboard-7b4db767-873b-4b2d-9cbe-6010c4270001.png</t>
        </is>
      </c>
      <c r="U22" s="27" t="inlineStr"/>
      <c r="V22" s="60" t="inlineStr">
        <is>
          <t>2026-08-18</t>
        </is>
      </c>
      <c r="W22" s="27" t="inlineStr">
        <is>
          <t>未复测</t>
        </is>
      </c>
      <c r="X22" s="27" t="inlineStr">
        <is>
          <t>只记录观察结果，不点击标记已处理。</t>
        </is>
      </c>
    </row>
    <row r="23" ht="70" customHeight="1">
      <c r="A23" s="29" t="inlineStr">
        <is>
          <t>UC-09</t>
        </is>
      </c>
      <c r="B23" s="30" t="inlineStr">
        <is>
          <t>按量消耗</t>
        </is>
      </c>
      <c r="C23" s="26" t="inlineStr">
        <is>
          <t>谁用了？用了多少？用在哪里？</t>
        </is>
      </c>
      <c r="D23" s="26" t="inlineStr">
        <is>
          <t>请求包含缓存和推理 Token</t>
        </is>
      </c>
      <c r="E23" s="26" t="inlineStr">
        <is>
          <t>请求下钻</t>
        </is>
      </c>
      <c r="F23" s="26" t="inlineStr">
        <is>
          <t>Token 有没有被重复计算？</t>
        </is>
      </c>
      <c r="G23" s="26" t="inlineStr">
        <is>
          <t>选择同时含缓存、推理、输入和输出的请求，手工复算真实 Token。</t>
        </is>
      </c>
      <c r="H23" s="26" t="inlineStr">
        <is>
          <t>真实 Token=input+output；缓存和推理只作子项展示。</t>
        </is>
      </c>
      <c r="I23" s="26" t="inlineStr">
        <is>
          <t>真实 Token 计算正确；缓存和推理没有再次累加。</t>
        </is>
      </c>
      <c r="J23" s="27" t="inlineStr">
        <is>
          <t>用量账本 → 请求明细 → 请求展开</t>
        </is>
      </c>
      <c r="K23" s="27" t="inlineStr">
        <is>
          <t>是</t>
        </is>
      </c>
      <c r="L23" s="27" t="inlineStr">
        <is>
          <t>是</t>
        </is>
      </c>
      <c r="M23" s="27" t="inlineStr">
        <is>
          <t>有</t>
        </is>
      </c>
      <c r="N23" s="27" t="inlineStr">
        <is>
          <t>是</t>
        </is>
      </c>
      <c r="O23" s="27" t="inlineStr">
        <is>
          <t>单条请求输入 43,113、输出 1,119、缓存 42,752、计量质量 PROVIDER_REPORTED、Attempt 1、上游 HTTP 200；真实 Token=43,113+1,119=44,232，缓存为输入子集未重复加入。</t>
        </is>
      </c>
      <c r="P23" s="27" t="inlineStr">
        <is>
          <t>通过</t>
        </is>
      </c>
      <c r="Q23" s="27" t="inlineStr">
        <is>
          <t>通过</t>
        </is>
      </c>
      <c r="R23" s="27" t="inlineStr">
        <is>
          <t>未分级</t>
        </is>
      </c>
      <c r="S23" s="27" t="inlineStr"/>
      <c r="T23" s="27" t="inlineStr">
        <is>
          <t>/var/folders/bd/x5tqktw96l5cw5r90mvnbty80000gp/T/codex-clipboard-304b52e8-efd6-477d-8f41-28a76aae8336.png</t>
        </is>
      </c>
      <c r="U23" s="27" t="inlineStr"/>
      <c r="V23" s="60" t="inlineStr">
        <is>
          <t>2026-08-18</t>
        </is>
      </c>
      <c r="W23" s="27" t="inlineStr">
        <is>
          <t>未复测</t>
        </is>
      </c>
      <c r="X23" s="27" t="inlineStr">
        <is>
          <t>Token 计量公式与上游 Usage 事实一致。</t>
        </is>
      </c>
    </row>
    <row r="24" ht="70" customHeight="1">
      <c r="A24" s="29" t="inlineStr">
        <is>
          <t>UC-10</t>
        </is>
      </c>
      <c r="B24" s="30" t="inlineStr">
        <is>
          <t>按量消耗</t>
        </is>
      </c>
      <c r="C24" s="26" t="inlineStr">
        <is>
          <t>谁用了？用了多少？用在哪里？</t>
        </is>
      </c>
      <c r="D24" s="26" t="inlineStr">
        <is>
          <t>月度账单关闭后重开</t>
        </is>
      </c>
      <c r="E24" s="26" t="inlineStr">
        <is>
          <t>历史账核验</t>
        </is>
      </c>
      <c r="F24" s="26" t="inlineStr">
        <is>
          <t>重开会不会把旧账改掉？</t>
        </is>
      </c>
      <c r="G24" s="26" t="inlineStr">
        <is>
          <t>选取一个关闭月份，查看版本；按受控流程重开、再关闭并比较版本。</t>
        </is>
      </c>
      <c r="H24" s="26" t="inlineStr">
        <is>
          <t>旧版本不可变、新版本、员工/项目/部门/总账追溯。</t>
        </is>
      </c>
      <c r="I24" s="26" t="inlineStr">
        <is>
          <t>旧关闭版本保持不变；新草稿和新版本可追溯同一批基础账本。</t>
        </is>
      </c>
      <c r="J24" s="27" t="inlineStr">
        <is>
          <t>经营账单 → 结账管理</t>
        </is>
      </c>
      <c r="K24" s="27" t="inlineStr">
        <is>
          <t>是</t>
        </is>
      </c>
      <c r="L24" s="27" t="inlineStr">
        <is>
          <t>部分</t>
        </is>
      </c>
      <c r="M24" s="27" t="inlineStr">
        <is>
          <t>有</t>
        </is>
      </c>
      <c r="N24" s="27" t="inlineStr">
        <is>
          <t>是</t>
        </is>
      </c>
      <c r="O24" s="27" t="inlineStr">
        <is>
          <t>2026-08 月状态为待结账；页面只提示 Kimi/智谱缺少套餐费用或额度事实、DeepSeek 存在未知 API 成本，并要求填写结账说明，但没有先列出本月采购、充值、套餐费用和 API 实际费用的逐项清单，也没有逐项确认、补充或标记异常入口。</t>
        </is>
      </c>
      <c r="P24" s="27" t="inlineStr">
        <is>
          <t>闭环缺口</t>
        </is>
      </c>
      <c r="Q24" s="27" t="inlineStr">
        <is>
          <t>不通过</t>
        </is>
      </c>
      <c r="R24" s="27" t="inlineStr">
        <is>
          <t>P1</t>
        </is>
      </c>
      <c r="S24" s="27" t="inlineStr"/>
      <c r="T24" s="27" t="inlineStr">
        <is>
          <t>/var/folders/bd/x5tqktw96l5cw5r90mvnbty80000gp/T/codex-clipboard-441a7b5d-78b8-4fe2-860f-188ebcec0d52.png</t>
        </is>
      </c>
      <c r="U24" s="27" t="inlineStr"/>
      <c r="V24" s="60" t="inlineStr">
        <is>
          <t>2026-08-18</t>
        </is>
      </c>
      <c r="W24" s="27" t="inlineStr">
        <is>
          <t>未复测</t>
        </is>
      </c>
      <c r="X24" s="27" t="inlineStr">
        <is>
          <t>确认的产品问题：结账页应先列出本月花费清单，再让负责人逐项确认；不能只用“缺事实”泛化阻断。</t>
        </is>
      </c>
    </row>
    <row r="25" ht="70" customHeight="1">
      <c r="A25" s="31" t="inlineStr">
        <is>
          <t>PV-01</t>
        </is>
      </c>
      <c r="B25" s="32" t="inlineStr">
        <is>
          <t>峰谷差异</t>
        </is>
      </c>
      <c r="C25" s="26" t="inlineStr">
        <is>
          <t>什么时候使用更划算？</t>
        </is>
      </c>
      <c r="D25" s="26" t="inlineStr">
        <is>
          <t>相同模型在峰值和低谷调用</t>
        </is>
      </c>
      <c r="E25" s="26" t="inlineStr">
        <is>
          <t>真实请求/数据对账</t>
        </is>
      </c>
      <c r="F25" s="26" t="inlineStr">
        <is>
          <t>同样的请求为什么费用不同？</t>
        </is>
      </c>
      <c r="G25" s="26" t="inlineStr">
        <is>
          <t>在两个生效时段使用同一模型各发起一笔测试请求。</t>
        </is>
      </c>
      <c r="H25" s="26" t="inlineStr">
        <is>
          <t>时段、计价规则、单价/倍率、最终费用和请求时点快照。</t>
        </is>
      </c>
      <c r="I25" s="26" t="inlineStr">
        <is>
          <t>两笔请求各自命中正确规则，费用差异可解释。</t>
        </is>
      </c>
      <c r="J25" s="27" t="inlineStr">
        <is>
          <t>额度规则 → 计价规则；调度策略</t>
        </is>
      </c>
      <c r="K25" s="27" t="inlineStr">
        <is>
          <t>是</t>
        </is>
      </c>
      <c r="L25" s="27" t="inlineStr">
        <is>
          <t>不适用</t>
        </is>
      </c>
      <c r="M25" s="27" t="inlineStr">
        <is>
          <t>有</t>
        </is>
      </c>
      <c r="N25" s="27" t="inlineStr">
        <is>
          <t>是</t>
        </is>
      </c>
      <c r="O25" s="27" t="inlineStr">
        <is>
          <t>计价规则存在并启用；GLM 高峰策略为工作日 14:00-18:00 REJECT，不是峰值允许后 ×3 扣减。</t>
        </is>
      </c>
      <c r="P25" s="27" t="inlineStr">
        <is>
          <t>未测试</t>
        </is>
      </c>
      <c r="Q25" s="27" t="inlineStr">
        <is>
          <t>待确认</t>
        </is>
      </c>
      <c r="R25" s="27" t="inlineStr">
        <is>
          <t>未分级</t>
        </is>
      </c>
      <c r="S25" s="27" t="inlineStr"/>
      <c r="T25" s="27" t="inlineStr">
        <is>
          <t>/var/folders/bd/x5tqktw96l5cw5r90mvnbty80000gp/T/codex-clipboard-cbec1bd3-7757-4ed9-9463-4f8188c5be1e.png; /var/folders/bd/x5tqktw96l5cw5r90mvnbty80000gp/T/codex-clipboard-f632c6ea-8618-4a81-aad8-cade63cbb317.png</t>
        </is>
      </c>
      <c r="U25" s="27" t="inlineStr"/>
      <c r="V25" s="60" t="inlineStr">
        <is>
          <t>2026-08-18</t>
        </is>
      </c>
      <c r="W25" s="27" t="inlineStr">
        <is>
          <t>未复测</t>
        </is>
      </c>
      <c r="X25" s="27" t="inlineStr">
        <is>
          <t>规则已配置，但没有可观察的允许型峰值请求。</t>
        </is>
      </c>
    </row>
    <row r="26" ht="70" customHeight="1">
      <c r="A26" s="31" t="inlineStr">
        <is>
          <t>PV-02</t>
        </is>
      </c>
      <c r="B26" s="32" t="inlineStr">
        <is>
          <t>峰谷差异</t>
        </is>
      </c>
      <c r="C26" s="26" t="inlineStr">
        <is>
          <t>什么时候使用更划算？</t>
        </is>
      </c>
      <c r="D26" s="26" t="inlineStr">
        <is>
          <t>请求发生在时间段切换边界</t>
        </is>
      </c>
      <c r="E26" s="26" t="inlineStr">
        <is>
          <t>测试环境</t>
        </is>
      </c>
      <c r="F26" s="26" t="inlineStr">
        <is>
          <t>08:59 和 09:00 分别按什么规则？</t>
        </is>
      </c>
      <c r="G26" s="26" t="inlineStr">
        <is>
          <t>在测试环境围绕一个分时边界分别发起请求，记录企业时区。</t>
        </is>
      </c>
      <c r="H26" s="26" t="inlineStr">
        <is>
          <t>半开区间、时区、唯一命中、无重复/漏算。</t>
        </is>
      </c>
      <c r="I26" s="26" t="inlineStr">
        <is>
          <t>边界请求只能命中一条正确规则；不存在重复计价或无规则。</t>
        </is>
      </c>
      <c r="J26" s="27" t="inlineStr">
        <is>
          <t>额度规则 → 计价规则</t>
        </is>
      </c>
      <c r="K26" s="27" t="inlineStr">
        <is>
          <t>是</t>
        </is>
      </c>
      <c r="L26" s="27" t="inlineStr">
        <is>
          <t>不适用</t>
        </is>
      </c>
      <c r="M26" s="27" t="inlineStr">
        <is>
          <t>有</t>
        </is>
      </c>
      <c r="N26" s="27" t="inlineStr">
        <is>
          <t>是</t>
        </is>
      </c>
      <c r="O26" s="27" t="inlineStr">
        <is>
          <t>工作日与 Asia/Shanghai 时段显示准确；当前未发现时间边界配置异常。</t>
        </is>
      </c>
      <c r="P26" s="27" t="inlineStr">
        <is>
          <t>通过</t>
        </is>
      </c>
      <c r="Q26" s="27" t="inlineStr">
        <is>
          <t>通过</t>
        </is>
      </c>
      <c r="R26" s="27" t="inlineStr">
        <is>
          <t>未分级</t>
        </is>
      </c>
      <c r="S26" s="27" t="inlineStr"/>
      <c r="T26" s="27" t="inlineStr">
        <is>
          <t>/var/folders/bd/x5tqktw96l5cw5r90mvnbty80000gp/T/codex-clipboard-cbec1bd3-7757-4ed9-9463-4f8188c5be1e.png</t>
        </is>
      </c>
      <c r="U26" s="27" t="inlineStr"/>
      <c r="V26" s="60" t="inlineStr">
        <is>
          <t>2026-08-18</t>
        </is>
      </c>
      <c r="W26" s="27" t="inlineStr">
        <is>
          <t>未复测</t>
        </is>
      </c>
      <c r="X26" s="27" t="inlineStr">
        <is>
          <t>时间规则配置核验通过。</t>
        </is>
      </c>
    </row>
    <row r="27" ht="70" customHeight="1">
      <c r="A27" s="31" t="inlineStr">
        <is>
          <t>PV-03</t>
        </is>
      </c>
      <c r="B27" s="32" t="inlineStr">
        <is>
          <t>峰谷差异</t>
        </is>
      </c>
      <c r="C27" s="26" t="inlineStr">
        <is>
          <t>什么时候使用更划算？</t>
        </is>
      </c>
      <c r="D27" s="26" t="inlineStr">
        <is>
          <t>工作日与周末使用</t>
        </is>
      </c>
      <c r="E27" s="26" t="inlineStr">
        <is>
          <t>数据对账</t>
        </is>
      </c>
      <c r="F27" s="26" t="inlineStr">
        <is>
          <t>周末是否采用不同价格或倍率？</t>
        </is>
      </c>
      <c r="G27" s="26" t="inlineStr">
        <is>
          <t>对比同模型工作日和周末请求的规则快照。</t>
        </is>
      </c>
      <c r="H27" s="26" t="inlineStr">
        <is>
          <t>工作日/周末识别、规则差异或无差异的明确说明。</t>
        </is>
      </c>
      <c r="I27" s="26" t="inlineStr">
        <is>
          <t>正确命中相应规则；无差异时明确使用同一规则，不虚构节省。</t>
        </is>
      </c>
      <c r="J27" s="27" t="inlineStr">
        <is>
          <t>额度规则 → 调度策略</t>
        </is>
      </c>
      <c r="K27" s="27" t="inlineStr">
        <is>
          <t>是</t>
        </is>
      </c>
      <c r="L27" s="27" t="inlineStr">
        <is>
          <t>不适用</t>
        </is>
      </c>
      <c r="M27" s="27" t="inlineStr">
        <is>
          <t>有</t>
        </is>
      </c>
      <c r="N27" s="27" t="inlineStr">
        <is>
          <t>是</t>
        </is>
      </c>
      <c r="O27" s="27" t="inlineStr">
        <is>
          <t>用户实际使用确认：工作日高峰限制，周六周日可以使用。</t>
        </is>
      </c>
      <c r="P27" s="27" t="inlineStr">
        <is>
          <t>通过</t>
        </is>
      </c>
      <c r="Q27" s="27" t="inlineStr">
        <is>
          <t>通过</t>
        </is>
      </c>
      <c r="R27" s="27" t="inlineStr">
        <is>
          <t>未分级</t>
        </is>
      </c>
      <c r="S27" s="27" t="inlineStr"/>
      <c r="T27" s="27" t="inlineStr">
        <is>
          <t>/var/folders/bd/x5tqktw96l5cw5r90mvnbty80000gp/T/codex-clipboard-f632c6ea-8618-4a81-aad8-cade63cbb317.png</t>
        </is>
      </c>
      <c r="U27" s="27" t="inlineStr"/>
      <c r="V27" s="60" t="inlineStr">
        <is>
          <t>2026-08-18</t>
        </is>
      </c>
      <c r="W27" s="27" t="inlineStr">
        <is>
          <t>未复测</t>
        </is>
      </c>
      <c r="X27" s="27" t="inlineStr">
        <is>
          <t>基于实际使用反馈确认。</t>
        </is>
      </c>
    </row>
    <row r="28" ht="70" customHeight="1">
      <c r="A28" s="31" t="inlineStr">
        <is>
          <t>PV-04</t>
        </is>
      </c>
      <c r="B28" s="32" t="inlineStr">
        <is>
          <t>峰谷差异</t>
        </is>
      </c>
      <c r="C28" s="26" t="inlineStr">
        <is>
          <t>什么时候使用更划算？</t>
        </is>
      </c>
      <c r="D28" s="26" t="inlineStr">
        <is>
          <t>多条分时规则同时匹配</t>
        </is>
      </c>
      <c r="E28" s="26" t="inlineStr">
        <is>
          <t>测试环境</t>
        </is>
      </c>
      <c r="F28" s="26" t="inlineStr">
        <is>
          <t>到底应该使用哪一条？</t>
        </is>
      </c>
      <c r="G28" s="26" t="inlineStr">
        <is>
          <t>在测试环境配置可重叠草稿并执行校验；若允许发布，发起一笔匹配请求。</t>
        </is>
      </c>
      <c r="H28" s="26" t="inlineStr">
        <is>
          <t>规则优先级、冲突校验、最终命中和未命中原因。</t>
        </is>
      </c>
      <c r="I28" s="26" t="inlineStr">
        <is>
          <t>发布前能阻止或解释冲突；请求只采用一条最终规则。</t>
        </is>
      </c>
      <c r="J28" s="27" t="inlineStr">
        <is>
          <t>额度规则 → 计价规则</t>
        </is>
      </c>
      <c r="K28" s="27" t="inlineStr">
        <is>
          <t>是</t>
        </is>
      </c>
      <c r="L28" s="27" t="inlineStr">
        <is>
          <t>不适用</t>
        </is>
      </c>
      <c r="M28" s="27" t="inlineStr">
        <is>
          <t>有</t>
        </is>
      </c>
      <c r="N28" s="27" t="inlineStr">
        <is>
          <t>是</t>
        </is>
      </c>
      <c r="O28" s="27" t="inlineStr">
        <is>
          <t>当前使用中未发现多条启用规则冲突或优先级异常；规则优先级按数值小优先。</t>
        </is>
      </c>
      <c r="P28" s="27" t="inlineStr">
        <is>
          <t>通过</t>
        </is>
      </c>
      <c r="Q28" s="27" t="inlineStr">
        <is>
          <t>通过</t>
        </is>
      </c>
      <c r="R28" s="27" t="inlineStr">
        <is>
          <t>未分级</t>
        </is>
      </c>
      <c r="S28" s="27" t="inlineStr"/>
      <c r="T28" s="27" t="inlineStr">
        <is>
          <t>/var/folders/bd/x5tqktw96l5cw5r90gp/T/codex-clipboard-cbec1bd3-7757-4ed9-9463-4f8188c5be1e.png</t>
        </is>
      </c>
      <c r="U28" s="27" t="inlineStr"/>
      <c r="V28" s="60" t="inlineStr">
        <is>
          <t>2026-08-18</t>
        </is>
      </c>
      <c r="W28" s="27" t="inlineStr">
        <is>
          <t>未复测</t>
        </is>
      </c>
      <c r="X28" s="27" t="inlineStr">
        <is>
          <t>计价规则与调度策略的优先级体系分开。</t>
        </is>
      </c>
    </row>
    <row r="29" ht="70" customHeight="1">
      <c r="A29" s="31" t="inlineStr">
        <is>
          <t>PV-05</t>
        </is>
      </c>
      <c r="B29" s="32" t="inlineStr">
        <is>
          <t>峰谷差异</t>
        </is>
      </c>
      <c r="C29" s="26" t="inlineStr">
        <is>
          <t>什么时候使用更划算？</t>
        </is>
      </c>
      <c r="D29" s="26" t="inlineStr">
        <is>
          <t>非经济时段三倍扣减</t>
        </is>
      </c>
      <c r="E29" s="26" t="inlineStr">
        <is>
          <t>真实请求/数据对账</t>
        </is>
      </c>
      <c r="F29" s="26" t="inlineStr">
        <is>
          <t>为什么这次扣了三倍额度？</t>
        </is>
      </c>
      <c r="G29" s="26" t="inlineStr">
        <is>
          <t>选择命中三倍扣减规则的请求，复算原始 Token 与最终扣减。</t>
        </is>
      </c>
      <c r="H29" s="26" t="inlineStr">
        <is>
          <t>原始 Token、倍率、扣减额度；API 费用不能被重复乘倍。</t>
        </is>
      </c>
      <c r="I29" s="26" t="inlineStr">
        <is>
          <t>扣减额度=原始口径×倍率；倍率作用范围明确且没有重复计费。</t>
        </is>
      </c>
      <c r="J29" s="27" t="inlineStr">
        <is>
          <t>额度规则 → 调度策略；用量账本 → 请求明细</t>
        </is>
      </c>
      <c r="K29" s="27" t="inlineStr">
        <is>
          <t>是</t>
        </is>
      </c>
      <c r="L29" s="27" t="inlineStr">
        <is>
          <t>不适用</t>
        </is>
      </c>
      <c r="M29" s="27" t="inlineStr">
        <is>
          <t>有</t>
        </is>
      </c>
      <c r="N29" s="27" t="inlineStr">
        <is>
          <t>是</t>
        </is>
      </c>
      <c r="O29" s="27" t="inlineStr">
        <is>
          <t>GLM 高峰策略为 REJECT；当前没有已发布/可观察的拒绝请求，未验证拒绝后无 Attempt、Token、费用。</t>
        </is>
      </c>
      <c r="P29" s="27" t="inlineStr">
        <is>
          <t>未测试</t>
        </is>
      </c>
      <c r="Q29" s="27" t="inlineStr">
        <is>
          <t>待确认</t>
        </is>
      </c>
      <c r="R29" s="27" t="inlineStr">
        <is>
          <t>未分级</t>
        </is>
      </c>
      <c r="S29" s="27" t="inlineStr"/>
      <c r="T29" s="27" t="inlineStr">
        <is>
          <t>/var/folders/bd/x5tqktw96l5cw5r90mvnbty80000gp/T/codex-clipboard-f632c6ea-8618-4a81-aad8-cade63cbb317.png</t>
        </is>
      </c>
      <c r="U29" s="27" t="inlineStr"/>
      <c r="V29" s="60" t="inlineStr">
        <is>
          <t>2026-08-18</t>
        </is>
      </c>
      <c r="W29" s="27" t="inlineStr">
        <is>
          <t>未复测</t>
        </is>
      </c>
      <c r="X29" s="27" t="inlineStr">
        <is>
          <t>高峰拒绝提示与无扣费证据另记 POOL20-030。</t>
        </is>
      </c>
    </row>
    <row r="30" ht="70" customHeight="1">
      <c r="A30" s="31" t="inlineStr">
        <is>
          <t>PV-06</t>
        </is>
      </c>
      <c r="B30" s="32" t="inlineStr">
        <is>
          <t>峰谷差异</t>
        </is>
      </c>
      <c r="C30" s="26" t="inlineStr">
        <is>
          <t>什么时候使用更划算？</t>
        </is>
      </c>
      <c r="D30" s="26" t="inlineStr">
        <is>
          <t>计价规则中途发布新版本</t>
        </is>
      </c>
      <c r="E30" s="26" t="inlineStr">
        <is>
          <t>历史账核验</t>
        </is>
      </c>
      <c r="F30" s="26" t="inlineStr">
        <is>
          <t>历史费用会不会跟着新规则变化？</t>
        </is>
      </c>
      <c r="G30" s="26" t="inlineStr">
        <is>
          <t>比较规则发布前后两笔请求，并查看历史请求规则快照。</t>
        </is>
      </c>
      <c r="H30" s="26" t="inlineStr">
        <is>
          <t>规则版本、发布时间、历史不可变和新请求生效。</t>
        </is>
      </c>
      <c r="I30" s="26" t="inlineStr">
        <is>
          <t>新版本只影响新请求；历史请求保留原规则、价格与倍率快照。</t>
        </is>
      </c>
      <c r="J30" s="27" t="inlineStr">
        <is>
          <t>额度规则 → 计价规则；请求明细下钻</t>
        </is>
      </c>
      <c r="K30" s="27" t="inlineStr">
        <is>
          <t>是</t>
        </is>
      </c>
      <c r="L30" s="27" t="inlineStr">
        <is>
          <t>部分</t>
        </is>
      </c>
      <c r="M30" s="27" t="inlineStr">
        <is>
          <t>有</t>
        </is>
      </c>
      <c r="N30" s="27" t="inlineStr">
        <is>
          <t>是</t>
        </is>
      </c>
      <c r="O30" s="27" t="inlineStr">
        <is>
          <t>规则有多个版本；请求中可看到 deepseek-flash-base-v1 和价格，但尚未完成不同版本请求的历史对比。</t>
        </is>
      </c>
      <c r="P30" s="27" t="inlineStr">
        <is>
          <t>未测试</t>
        </is>
      </c>
      <c r="Q30" s="27" t="inlineStr">
        <is>
          <t>待确认</t>
        </is>
      </c>
      <c r="R30" s="27" t="inlineStr">
        <is>
          <t>未分级</t>
        </is>
      </c>
      <c r="S30" s="27" t="inlineStr"/>
      <c r="T30" s="27" t="inlineStr">
        <is>
          <t>/var/folders/bd/x5tqktw96l5cw5r90mvnbty80000gp/T/codex-clipboard-015f26b5-9066-44b6-92a6-8dce6f69b71e.png</t>
        </is>
      </c>
      <c r="U30" s="27" t="inlineStr"/>
      <c r="V30" s="60" t="inlineStr">
        <is>
          <t>2026-08-18</t>
        </is>
      </c>
      <c r="W30" s="27" t="inlineStr">
        <is>
          <t>未复测</t>
        </is>
      </c>
      <c r="X30" s="27" t="inlineStr">
        <is>
          <t>计价规则应在请求详情独立展示。</t>
        </is>
      </c>
    </row>
    <row r="31" ht="70" customHeight="1">
      <c r="A31" s="31" t="inlineStr">
        <is>
          <t>PV-07</t>
        </is>
      </c>
      <c r="B31" s="32" t="inlineStr">
        <is>
          <t>峰谷差异</t>
        </is>
      </c>
      <c r="C31" s="26" t="inlineStr">
        <is>
          <t>什么时候使用更划算？</t>
        </is>
      </c>
      <c r="D31" s="26" t="inlineStr">
        <is>
          <t>Coding Plan 当前窗口仍有额度</t>
        </is>
      </c>
      <c r="E31" s="26" t="inlineStr">
        <is>
          <t>请求下钻</t>
        </is>
      </c>
      <c r="F31" s="26" t="inlineStr">
        <is>
          <t>此时应该优先套餐还是 API？</t>
        </is>
      </c>
      <c r="G31" s="26" t="inlineStr">
        <is>
          <t>选择套餐窗口有剩余且 API 也可用的模型，查看候选和实际调度。</t>
        </is>
      </c>
      <c r="H31" s="26" t="inlineStr">
        <is>
          <t>套餐窗口、恢复周期、候选资源、实际选择与理由。</t>
        </is>
      </c>
      <c r="I31" s="26" t="inlineStr">
        <is>
          <t>实际选择能够用已展示事实解释；不以本地 Token 冒充厂商窗口。</t>
        </is>
      </c>
      <c r="J31" s="27" t="inlineStr">
        <is>
          <t>用量账本 → 请求明细 → 请求展开</t>
        </is>
      </c>
      <c r="K31" s="27" t="inlineStr">
        <is>
          <t>是</t>
        </is>
      </c>
      <c r="L31" s="27" t="inlineStr">
        <is>
          <t>是</t>
        </is>
      </c>
      <c r="M31" s="27" t="inlineStr">
        <is>
          <t>有</t>
        </is>
      </c>
      <c r="N31" s="27" t="inlineStr">
        <is>
          <t>是</t>
        </is>
      </c>
      <c r="O31" s="27" t="inlineStr">
        <is>
          <t>Kimi 请求使用 Coding Plan，套餐内、扣减 95,913、API 费用为套餐内；路由候选只有一个，调度为 ALLOW_NO_POLICY，无法证明套餐优先策略。</t>
        </is>
      </c>
      <c r="P31" s="27" t="inlineStr">
        <is>
          <t>未测试</t>
        </is>
      </c>
      <c r="Q31" s="27" t="inlineStr">
        <is>
          <t>待确认</t>
        </is>
      </c>
      <c r="R31" s="27" t="inlineStr">
        <is>
          <t>未分级</t>
        </is>
      </c>
      <c r="S31" s="27" t="inlineStr"/>
      <c r="T31" s="27" t="inlineStr">
        <is>
          <t>/var/folders/bd/x5tqktw96l5cw5r90mvnbty80000gp/T/codex-clipboard-30ad18fe-4338-45f5-bafa-fb1314bbfcc5.png</t>
        </is>
      </c>
      <c r="U31" s="27" t="inlineStr"/>
      <c r="V31" s="60" t="inlineStr">
        <is>
          <t>2026-08-18</t>
        </is>
      </c>
      <c r="W31" s="27" t="inlineStr">
        <is>
          <t>未复测</t>
        </is>
      </c>
      <c r="X31" s="27" t="inlineStr">
        <is>
          <t>套餐实际使用已证实，套餐优先尚无多候选样本。</t>
        </is>
      </c>
    </row>
    <row r="32" ht="70" customHeight="1">
      <c r="A32" s="31" t="inlineStr">
        <is>
          <t>PV-08</t>
        </is>
      </c>
      <c r="B32" s="32" t="inlineStr">
        <is>
          <t>峰谷差异</t>
        </is>
      </c>
      <c r="C32" s="26" t="inlineStr">
        <is>
          <t>什么时候使用更划算？</t>
        </is>
      </c>
      <c r="D32" s="26" t="inlineStr">
        <is>
          <t>Coding Plan 窗口耗尽</t>
        </is>
      </c>
      <c r="E32" s="26" t="inlineStr">
        <is>
          <t>历史事件/测试环境</t>
        </is>
      </c>
      <c r="F32" s="26" t="inlineStr">
        <is>
          <t>继续等待还是切换收费 API？</t>
        </is>
      </c>
      <c r="G32" s="26" t="inlineStr">
        <is>
          <t>使用既有耗尽事件，或在测试资源模拟窗口耗尽后发起请求。</t>
        </is>
      </c>
      <c r="H32" s="26" t="inlineStr">
        <is>
          <t>恢复时间、备用 API 成本、切换动作与业务时效。</t>
        </is>
      </c>
      <c r="I32" s="26" t="inlineStr">
        <is>
          <t>系统显示等待与切换事实；实际动作和理由可追溯。</t>
        </is>
      </c>
      <c r="J32" s="27" t="inlineStr">
        <is>
          <t>厂商资源 → 厂商额度窗口；请求明细</t>
        </is>
      </c>
      <c r="K32" s="27" t="inlineStr">
        <is>
          <t>是</t>
        </is>
      </c>
      <c r="L32" s="27" t="inlineStr">
        <is>
          <t>不适用</t>
        </is>
      </c>
      <c r="M32" s="27" t="inlineStr">
        <is>
          <t>有</t>
        </is>
      </c>
      <c r="N32" s="27" t="inlineStr">
        <is>
          <t>无法判断</t>
        </is>
      </c>
      <c r="O32" s="27" t="inlineStr">
        <is>
          <t>当前没有 Coding Plan 额度耗尽样本，无法验证等待重置或用户自行切换。</t>
        </is>
      </c>
      <c r="P32" s="27" t="inlineStr">
        <is>
          <t>未测试</t>
        </is>
      </c>
      <c r="Q32" s="27" t="inlineStr">
        <is>
          <t>待确认</t>
        </is>
      </c>
      <c r="R32" s="27" t="inlineStr">
        <is>
          <t>未分级</t>
        </is>
      </c>
      <c r="S32" s="27" t="inlineStr"/>
      <c r="T32" s="27" t="inlineStr"/>
      <c r="U32" s="27" t="inlineStr"/>
      <c r="V32" s="60" t="inlineStr">
        <is>
          <t>2026-08-18</t>
        </is>
      </c>
      <c r="W32" s="27" t="inlineStr">
        <is>
          <t>未复测</t>
        </is>
      </c>
      <c r="X32" s="27" t="inlineStr">
        <is>
          <t>额度耗尽提示口径已记录 POOL20-033。</t>
        </is>
      </c>
    </row>
    <row r="33" ht="70" customHeight="1">
      <c r="A33" s="31" t="inlineStr">
        <is>
          <t>PV-09</t>
        </is>
      </c>
      <c r="B33" s="32" t="inlineStr">
        <is>
          <t>峰谷差异</t>
        </is>
      </c>
      <c r="C33" s="26" t="inlineStr">
        <is>
          <t>什么时候使用更划算？</t>
        </is>
      </c>
      <c r="D33" s="26" t="inlineStr">
        <is>
          <t>首页显示调度节省</t>
        </is>
      </c>
      <c r="E33" s="26" t="inlineStr">
        <is>
          <t>数据对账</t>
        </is>
      </c>
      <c r="F33" s="26" t="inlineStr">
        <is>
          <t>到底节省了多少钱？</t>
        </is>
      </c>
      <c r="G33" s="26" t="inlineStr">
        <is>
          <t>选择一笔或一段有“调度节省”的数据，复算比较基线和实际成本。</t>
        </is>
      </c>
      <c r="H33" s="26" t="inlineStr">
        <is>
          <t>比较基线、基准成本、实际成本、公式与数据来源。</t>
        </is>
      </c>
      <c r="I33" s="26" t="inlineStr">
        <is>
          <t>节省金额可复算；没有可靠基线时显示不可计算，而不是伪造数字。</t>
        </is>
      </c>
      <c r="J33" s="27" t="inlineStr">
        <is>
          <t>首页；请求明细</t>
        </is>
      </c>
      <c r="K33" s="27" t="inlineStr">
        <is>
          <t>是</t>
        </is>
      </c>
      <c r="L33" s="27" t="inlineStr">
        <is>
          <t>不适用</t>
        </is>
      </c>
      <c r="M33" s="27" t="inlineStr">
        <is>
          <t>有</t>
        </is>
      </c>
      <c r="N33" s="27" t="inlineStr">
        <is>
          <t>是</t>
        </is>
      </c>
      <c r="O33" s="27" t="inlineStr">
        <is>
          <t>首页本月调度节省显示 0.00；当前未观察到可计算的实际 SWITCH。</t>
        </is>
      </c>
      <c r="P33" s="27" t="inlineStr">
        <is>
          <t>未测试</t>
        </is>
      </c>
      <c r="Q33" s="27" t="inlineStr">
        <is>
          <t>待确认</t>
        </is>
      </c>
      <c r="R33" s="27" t="inlineStr">
        <is>
          <t>未分级</t>
        </is>
      </c>
      <c r="S33" s="27" t="inlineStr"/>
      <c r="T33" s="27" t="inlineStr">
        <is>
          <t>/var/folders/bd/x5tqktw96l5cw5r90mvnbty80000gp/T/codex-clipboard-d939c1c4-eb1f-4fd6-8ee1-cf20b9ef08fe.png</t>
        </is>
      </c>
      <c r="U33" s="27" t="inlineStr"/>
      <c r="V33" s="60" t="inlineStr">
        <is>
          <t>2026-08-18</t>
        </is>
      </c>
      <c r="W33" s="27" t="inlineStr">
        <is>
          <t>未复测</t>
        </is>
      </c>
      <c r="X33" s="27" t="inlineStr">
        <is>
          <t>调度节省算法已进入 POOL20-035 讨论。</t>
        </is>
      </c>
    </row>
    <row r="34" ht="70" customHeight="1">
      <c r="A34" s="31" t="inlineStr">
        <is>
          <t>PV-10</t>
        </is>
      </c>
      <c r="B34" s="32" t="inlineStr">
        <is>
          <t>峰谷差异</t>
        </is>
      </c>
      <c r="C34" s="26" t="inlineStr">
        <is>
          <t>什么时候使用更划算？</t>
        </is>
      </c>
      <c r="D34" s="26" t="inlineStr">
        <is>
          <t>最便宜资源延迟高或不可用</t>
        </is>
      </c>
      <c r="E34" s="26" t="inlineStr">
        <is>
          <t>请求下钻</t>
        </is>
      </c>
      <c r="F34" s="26" t="inlineStr">
        <is>
          <t>便宜资源是不是一定值得用？</t>
        </is>
      </c>
      <c r="G34" s="26" t="inlineStr">
        <is>
          <t>选择最低价资源不健康或高延迟的请求，查看候选淘汰和最终选择。</t>
        </is>
      </c>
      <c r="H34" s="26" t="inlineStr">
        <is>
          <t>价格、健康、延迟、失败率、额度和业务影响。</t>
        </is>
      </c>
      <c r="I34" s="26" t="inlineStr">
        <is>
          <t>调度理由能解释为何放弃最低价资源；机会成本有事实支撑。</t>
        </is>
      </c>
      <c r="J34" s="27" t="inlineStr">
        <is>
          <t>用量账本 → 请求明细 → 路由候选</t>
        </is>
      </c>
      <c r="K34" s="27" t="inlineStr">
        <is>
          <t>是</t>
        </is>
      </c>
      <c r="L34" s="27" t="inlineStr">
        <is>
          <t>不适用</t>
        </is>
      </c>
      <c r="M34" s="27" t="inlineStr">
        <is>
          <t>有</t>
        </is>
      </c>
      <c r="N34" s="27" t="inlineStr">
        <is>
          <t>是</t>
        </is>
      </c>
      <c r="O34" s="27" t="inlineStr">
        <is>
          <t>当前抽查成功请求大多只有一个候选；没有多候选价格/可用性取舍样本。</t>
        </is>
      </c>
      <c r="P34" s="27" t="inlineStr">
        <is>
          <t>未测试</t>
        </is>
      </c>
      <c r="Q34" s="27" t="inlineStr">
        <is>
          <t>待确认</t>
        </is>
      </c>
      <c r="R34" s="27" t="inlineStr">
        <is>
          <t>未分级</t>
        </is>
      </c>
      <c r="S34" s="27" t="inlineStr"/>
      <c r="T34" s="27" t="inlineStr">
        <is>
          <t>/var/folders/bd/x5tqktw96l5cw5r90mvnbty80000gp/T/codex-clipboard-c7ec2b5a-c9b2-436a-8f56-cd1c98dcc2a8.png</t>
        </is>
      </c>
      <c r="U34" s="27" t="inlineStr"/>
      <c r="V34" s="60" t="inlineStr">
        <is>
          <t>2026-08-18</t>
        </is>
      </c>
      <c r="W34" s="27" t="inlineStr">
        <is>
          <t>未复测</t>
        </is>
      </c>
      <c r="X34" s="27" t="inlineStr">
        <is>
          <t>系统只记录事实，不自动判断便宜资源一定更好。</t>
        </is>
      </c>
    </row>
    <row r="35" ht="70" customHeight="1">
      <c r="A35" s="33" t="inlineStr">
        <is>
          <t>MD-01</t>
        </is>
      </c>
      <c r="B35" s="34" t="inlineStr">
        <is>
          <t>计量和调度</t>
        </is>
      </c>
      <c r="C35" s="26" t="inlineStr">
        <is>
          <t>为什么这次放行、切换或拒绝？</t>
        </is>
      </c>
      <c r="D35" s="26" t="inlineStr">
        <is>
          <t>无效、撤销或停用的 Key</t>
        </is>
      </c>
      <c r="E35" s="26" t="inlineStr">
        <is>
          <t>测试主体</t>
        </is>
      </c>
      <c r="F35" s="26" t="inlineStr">
        <is>
          <t>为什么请求被拒绝？</t>
        </is>
      </c>
      <c r="G35" s="26" t="inlineStr">
        <is>
          <t>使用专用测试主体的无效/撤销 Key 发起请求；禁止使用生产主账号。</t>
        </is>
      </c>
      <c r="H35" s="26" t="inlineStr">
        <is>
          <t>门禁阶段、主体/Key 状态、上游未调用、无伪 Attempt/费用。</t>
        </is>
      </c>
      <c r="I35" s="26" t="inlineStr">
        <is>
          <t>请求在上游前被拒绝；错误原因明确；不产生实际费用。</t>
        </is>
      </c>
      <c r="J35" s="27" t="inlineStr">
        <is>
          <t>用量账本 → 请求明细</t>
        </is>
      </c>
      <c r="K35" s="27" t="inlineStr">
        <is>
          <t>是</t>
        </is>
      </c>
      <c r="L35" s="27" t="inlineStr">
        <is>
          <t>不适用</t>
        </is>
      </c>
      <c r="M35" s="27" t="inlineStr">
        <is>
          <t>有</t>
        </is>
      </c>
      <c r="N35" s="27" t="inlineStr">
        <is>
          <t>是</t>
        </is>
      </c>
      <c r="O35" s="27" t="inlineStr">
        <is>
          <t>失败请求共 260 条，当前直接检查到 CLIENT_INVALID、UPSTREAM_TEMPORARY、STREAM_INTERRUPTED_AFTER_COMMIT；未观察到 403 或授权类错误。</t>
        </is>
      </c>
      <c r="P35" s="27" t="inlineStr">
        <is>
          <t>未测试</t>
        </is>
      </c>
      <c r="Q35" s="27" t="inlineStr">
        <is>
          <t>未测试</t>
        </is>
      </c>
      <c r="R35" s="27" t="inlineStr">
        <is>
          <t>未分级</t>
        </is>
      </c>
      <c r="S35" s="27" t="inlineStr"/>
      <c r="T35" s="27" t="inlineStr"/>
      <c r="U35" s="27" t="inlineStr"/>
      <c r="V35" s="60" t="inlineStr">
        <is>
          <t>2026-08-18</t>
        </is>
      </c>
      <c r="W35" s="27" t="inlineStr">
        <is>
          <t>未复测</t>
        </is>
      </c>
      <c r="X35" s="27" t="inlineStr">
        <is>
          <t>当前无 403/授权错误样本。</t>
        </is>
      </c>
    </row>
    <row r="36" ht="70" customHeight="1">
      <c r="A36" s="33" t="inlineStr">
        <is>
          <t>MD-02</t>
        </is>
      </c>
      <c r="B36" s="34" t="inlineStr">
        <is>
          <t>计量和调度</t>
        </is>
      </c>
      <c r="C36" s="26" t="inlineStr">
        <is>
          <t>为什么这次放行、切换或拒绝？</t>
        </is>
      </c>
      <c r="D36" s="26" t="inlineStr">
        <is>
          <t>员工没有目标模型授权</t>
        </is>
      </c>
      <c r="E36" s="26" t="inlineStr">
        <is>
          <t>测试主体</t>
        </is>
      </c>
      <c r="F36" s="26" t="inlineStr">
        <is>
          <t>为什么有额度也不能用？</t>
        </is>
      </c>
      <c r="G36" s="26" t="inlineStr">
        <is>
          <t>对未授权目标模型的测试主体发起请求。</t>
        </is>
      </c>
      <c r="H36" s="26" t="inlineStr">
        <is>
          <t>Grant、模型授权、门禁位置和审计。</t>
        </is>
      </c>
      <c r="I36" s="26" t="inlineStr">
        <is>
          <t>缺少授权时上游前拒绝，并给出稳定原因；有受控审计记录。</t>
        </is>
      </c>
      <c r="J36" s="27" t="inlineStr">
        <is>
          <t>批量模型授权；用量账本 → 请求明细</t>
        </is>
      </c>
      <c r="K36" s="27" t="inlineStr">
        <is>
          <t>是</t>
        </is>
      </c>
      <c r="L36" s="27" t="inlineStr">
        <is>
          <t>不适用</t>
        </is>
      </c>
      <c r="M36" s="27" t="inlineStr">
        <is>
          <t>有</t>
        </is>
      </c>
      <c r="N36" s="27" t="inlineStr">
        <is>
          <t>是</t>
        </is>
      </c>
      <c r="O36" s="27" t="inlineStr">
        <is>
          <t>当前没有观察到 principal_grant_required、模型未授权或授权过期请求。</t>
        </is>
      </c>
      <c r="P36" s="27" t="inlineStr">
        <is>
          <t>未测试</t>
        </is>
      </c>
      <c r="Q36" s="27" t="inlineStr">
        <is>
          <t>未测试</t>
        </is>
      </c>
      <c r="R36" s="27" t="inlineStr">
        <is>
          <t>未分级</t>
        </is>
      </c>
      <c r="S36" s="27" t="inlineStr"/>
      <c r="T36" s="27" t="inlineStr"/>
      <c r="U36" s="27" t="inlineStr"/>
      <c r="V36" s="60" t="inlineStr">
        <is>
          <t>2026-08-18</t>
        </is>
      </c>
      <c r="W36" s="27" t="inlineStr">
        <is>
          <t>未复测</t>
        </is>
      </c>
      <c r="X36" s="27" t="inlineStr">
        <is>
          <t>不人为停用授权制造故障。</t>
        </is>
      </c>
    </row>
    <row r="37" ht="70" customHeight="1">
      <c r="A37" s="33" t="inlineStr">
        <is>
          <t>MD-03</t>
        </is>
      </c>
      <c r="B37" s="34" t="inlineStr">
        <is>
          <t>计量和调度</t>
        </is>
      </c>
      <c r="C37" s="26" t="inlineStr">
        <is>
          <t>为什么这次放行、切换或拒绝？</t>
        </is>
      </c>
      <c r="D37" s="26" t="inlineStr">
        <is>
          <t>主体额度不足</t>
        </is>
      </c>
      <c r="E37" s="26" t="inlineStr">
        <is>
          <t>测试主体</t>
        </is>
      </c>
      <c r="F37" s="26" t="inlineStr">
        <is>
          <t>为什么被拒绝或按倍率扣减？</t>
        </is>
      </c>
      <c r="G37" s="26" t="inlineStr">
        <is>
          <t>给测试主体配置临界额度，分别测试拒绝、允许超额或倍率策略。</t>
        </is>
      </c>
      <c r="H37" s="26" t="inlineStr">
        <is>
          <t>请求额度、剩余额度、超额策略、倍率和最终扣减。</t>
        </is>
      </c>
      <c r="I37" s="26" t="inlineStr">
        <is>
          <t>行为与生效规则一致；余额不为负；原因可解释。</t>
        </is>
      </c>
      <c r="J37" s="27" t="inlineStr">
        <is>
          <t>用量账本 → 请求明细；额度规则</t>
        </is>
      </c>
      <c r="K37" s="27" t="inlineStr">
        <is>
          <t>是</t>
        </is>
      </c>
      <c r="L37" s="27" t="inlineStr">
        <is>
          <t>不适用</t>
        </is>
      </c>
      <c r="M37" s="27" t="inlineStr">
        <is>
          <t>有</t>
        </is>
      </c>
      <c r="N37" s="27" t="inlineStr">
        <is>
          <t>是</t>
        </is>
      </c>
      <c r="O37" s="27" t="inlineStr">
        <is>
          <t>失败请求中未发现 REJECT_EXHAUSTED；直接检查到智谱失败请求剩余额度比例约 63.09%，不是额度耗尽。</t>
        </is>
      </c>
      <c r="P37" s="27" t="inlineStr">
        <is>
          <t>未测试</t>
        </is>
      </c>
      <c r="Q37" s="27" t="inlineStr">
        <is>
          <t>未测试</t>
        </is>
      </c>
      <c r="R37" s="27" t="inlineStr">
        <is>
          <t>未分级</t>
        </is>
      </c>
      <c r="S37" s="27" t="inlineStr"/>
      <c r="T37" s="27" t="inlineStr"/>
      <c r="U37" s="27" t="inlineStr"/>
      <c r="V37" s="60" t="inlineStr">
        <is>
          <t>2026-08-18</t>
        </is>
      </c>
      <c r="W37" s="27" t="inlineStr">
        <is>
          <t>未复测</t>
        </is>
      </c>
      <c r="X37" s="27" t="inlineStr">
        <is>
          <t>当前没有主体额度不足样本。</t>
        </is>
      </c>
    </row>
    <row r="38" ht="70" customHeight="1">
      <c r="A38" s="33" t="inlineStr">
        <is>
          <t>MD-04</t>
        </is>
      </c>
      <c r="B38" s="34" t="inlineStr">
        <is>
          <t>计量和调度</t>
        </is>
      </c>
      <c r="C38" s="26" t="inlineStr">
        <is>
          <t>为什么这次放行、切换或拒绝？</t>
        </is>
      </c>
      <c r="D38" s="26" t="inlineStr">
        <is>
          <t>多个资源支持同一模型</t>
        </is>
      </c>
      <c r="E38" s="26" t="inlineStr">
        <is>
          <t>请求下钻</t>
        </is>
      </c>
      <c r="F38" s="26" t="inlineStr">
        <is>
          <t>哪些资源进入候选集合？</t>
        </is>
      </c>
      <c r="G38" s="26" t="inlineStr">
        <is>
          <t>发起一笔拥有多个候选资源的模型请求，展开路由证据。</t>
        </is>
      </c>
      <c r="H38" s="26" t="inlineStr">
        <is>
          <t>候选全集、优先级、授权/健康/额度/模型排除原因。</t>
        </is>
      </c>
      <c r="I38" s="26" t="inlineStr">
        <is>
          <t>全部候选及淘汰原因可见；最终选择与策略一致。</t>
        </is>
      </c>
      <c r="J38" s="27" t="inlineStr">
        <is>
          <t>用量账本 → 请求明细 → 路由候选</t>
        </is>
      </c>
      <c r="K38" s="27" t="inlineStr">
        <is>
          <t>是</t>
        </is>
      </c>
      <c r="L38" s="27" t="inlineStr">
        <is>
          <t>不适用</t>
        </is>
      </c>
      <c r="M38" s="27" t="inlineStr">
        <is>
          <t>有</t>
        </is>
      </c>
      <c r="N38" s="27" t="inlineStr">
        <is>
          <t>是</t>
        </is>
      </c>
      <c r="O38" s="27" t="inlineStr">
        <is>
          <t>当前抽查的成功请求路由候选大多只有一个，没有多候选竞争或切换样本。</t>
        </is>
      </c>
      <c r="P38" s="27" t="inlineStr">
        <is>
          <t>未测试</t>
        </is>
      </c>
      <c r="Q38" s="27" t="inlineStr">
        <is>
          <t>待确认</t>
        </is>
      </c>
      <c r="R38" s="27" t="inlineStr">
        <is>
          <t>未分级</t>
        </is>
      </c>
      <c r="S38" s="27" t="inlineStr"/>
      <c r="T38" s="27" t="inlineStr"/>
      <c r="U38" s="27" t="inlineStr"/>
      <c r="V38" s="60" t="inlineStr">
        <is>
          <t>2026-08-18</t>
        </is>
      </c>
      <c r="W38" s="27" t="inlineStr">
        <is>
          <t>未复测</t>
        </is>
      </c>
      <c r="X38" s="27" t="inlineStr">
        <is>
          <t>多候选路由场景待测试夹具。</t>
        </is>
      </c>
    </row>
    <row r="39" ht="70" customHeight="1">
      <c r="A39" s="33" t="inlineStr">
        <is>
          <t>MD-05</t>
        </is>
      </c>
      <c r="B39" s="34" t="inlineStr">
        <is>
          <t>计量和调度</t>
        </is>
      </c>
      <c r="C39" s="26" t="inlineStr">
        <is>
          <t>为什么这次放行、切换或拒绝？</t>
        </is>
      </c>
      <c r="D39" s="26" t="inlineStr">
        <is>
          <t>第一候选正常成功</t>
        </is>
      </c>
      <c r="E39" s="26" t="inlineStr">
        <is>
          <t>真实请求</t>
        </is>
      </c>
      <c r="F39" s="26" t="inlineStr">
        <is>
          <t>为什么最终选择这个资源？</t>
        </is>
      </c>
      <c r="G39" s="26" t="inlineStr">
        <is>
          <t>发起一笔正常请求，完整展开调度、Attempt 和结算。</t>
        </is>
      </c>
      <c r="H39" s="26" t="inlineStr">
        <is>
          <t>调度策略版本、资源、模型、价格/倍率快照、Settlement。</t>
        </is>
      </c>
      <c r="I39" s="26" t="inlineStr">
        <is>
          <t>一次成功 Attempt 和一个最终 Settlement；选择理由完整。</t>
        </is>
      </c>
      <c r="J39" s="27" t="inlineStr">
        <is>
          <t>用量账本 → 请求明细 → 请求展开</t>
        </is>
      </c>
      <c r="K39" s="27" t="inlineStr">
        <is>
          <t>是</t>
        </is>
      </c>
      <c r="L39" s="27" t="inlineStr">
        <is>
          <t>是</t>
        </is>
      </c>
      <c r="M39" s="27" t="inlineStr">
        <is>
          <t>有</t>
        </is>
      </c>
      <c r="N39" s="27" t="inlineStr">
        <is>
          <t>是</t>
        </is>
      </c>
      <c r="O39" s="27" t="inlineStr">
        <is>
          <t>成功请求可看到 HTTP 200、Attempt 1、结算 SETTLED、Usage、价格规则和 API 成本。</t>
        </is>
      </c>
      <c r="P39" s="27" t="inlineStr">
        <is>
          <t>通过</t>
        </is>
      </c>
      <c r="Q39" s="27" t="inlineStr">
        <is>
          <t>通过</t>
        </is>
      </c>
      <c r="R39" s="27" t="inlineStr">
        <is>
          <t>未分级</t>
        </is>
      </c>
      <c r="S39" s="27" t="inlineStr"/>
      <c r="T39" s="27" t="inlineStr">
        <is>
          <t>/var/folders/bd/x5tqktw96l5cw5r90mvnbty80000gp/T/codex-clipboard-c7ec2b5a-c9b2-436a-8f56-cd1c98dcc2a8.png</t>
        </is>
      </c>
      <c r="U39" s="27" t="inlineStr"/>
      <c r="V39" s="60" t="inlineStr">
        <is>
          <t>2026-08-18</t>
        </is>
      </c>
      <c r="W39" s="27" t="inlineStr">
        <is>
          <t>未复测</t>
        </is>
      </c>
      <c r="X39" s="27" t="inlineStr">
        <is>
          <t>正常主候选成功链路完整。</t>
        </is>
      </c>
    </row>
    <row r="40" ht="70" customHeight="1">
      <c r="A40" s="33" t="inlineStr">
        <is>
          <t>MD-06</t>
        </is>
      </c>
      <c r="B40" s="34" t="inlineStr">
        <is>
          <t>计量和调度</t>
        </is>
      </c>
      <c r="C40" s="26" t="inlineStr">
        <is>
          <t>为什么这次放行、切换或拒绝？</t>
        </is>
      </c>
      <c r="D40" s="26" t="inlineStr">
        <is>
          <t>第一候选失败、第二候选成功</t>
        </is>
      </c>
      <c r="E40" s="26" t="inlineStr">
        <is>
          <t>历史事件/测试环境</t>
        </is>
      </c>
      <c r="F40" s="26" t="inlineStr">
        <is>
          <t>为什么发生切换？</t>
        </is>
      </c>
      <c r="G40" s="26" t="inlineStr">
        <is>
          <t>使用既有失败切换请求，或在测试资源受控制造首候选失败。</t>
        </is>
      </c>
      <c r="H40" s="26" t="inlineStr">
        <is>
          <t>第一 Attempt 失败、第二候选理由、实际用量和最终结算。</t>
        </is>
      </c>
      <c r="I40" s="26" t="inlineStr">
        <is>
          <t>多 Attempt 如实记录；请求最终只结算一次；切换原因可追溯。</t>
        </is>
      </c>
      <c r="J40" s="27" t="inlineStr">
        <is>
          <t>用量账本 → 请求明细</t>
        </is>
      </c>
      <c r="K40" s="27" t="inlineStr">
        <is>
          <t>是</t>
        </is>
      </c>
      <c r="L40" s="27" t="inlineStr">
        <is>
          <t>不适用</t>
        </is>
      </c>
      <c r="M40" s="27" t="inlineStr">
        <is>
          <t>有</t>
        </is>
      </c>
      <c r="N40" s="27" t="inlineStr">
        <is>
          <t>是</t>
        </is>
      </c>
      <c r="O40" s="27" t="inlineStr">
        <is>
          <t>当前未发现首候选失败后第二候选成功的多 Attempt 切换样本。</t>
        </is>
      </c>
      <c r="P40" s="27" t="inlineStr">
        <is>
          <t>未测试</t>
        </is>
      </c>
      <c r="Q40" s="27" t="inlineStr">
        <is>
          <t>待确认</t>
        </is>
      </c>
      <c r="R40" s="27" t="inlineStr">
        <is>
          <t>未分级</t>
        </is>
      </c>
      <c r="S40" s="27" t="inlineStr"/>
      <c r="T40" s="27" t="inlineStr"/>
      <c r="U40" s="27" t="inlineStr"/>
      <c r="V40" s="60" t="inlineStr">
        <is>
          <t>2026-08-18</t>
        </is>
      </c>
      <c r="W40" s="27" t="inlineStr">
        <is>
          <t>未复测</t>
        </is>
      </c>
      <c r="X40" s="27" t="inlineStr">
        <is>
          <t>当前无法验证故障切换。</t>
        </is>
      </c>
    </row>
    <row r="41" ht="70" customHeight="1">
      <c r="A41" s="33" t="inlineStr">
        <is>
          <t>MD-07</t>
        </is>
      </c>
      <c r="B41" s="34" t="inlineStr">
        <is>
          <t>计量和调度</t>
        </is>
      </c>
      <c r="C41" s="26" t="inlineStr">
        <is>
          <t>为什么这次放行、切换或拒绝？</t>
        </is>
      </c>
      <c r="D41" s="26" t="inlineStr">
        <is>
          <t>请求超时后重试</t>
        </is>
      </c>
      <c r="E41" s="26" t="inlineStr">
        <is>
          <t>历史事件/测试环境</t>
        </is>
      </c>
      <c r="F41" s="26" t="inlineStr">
        <is>
          <t>有没有重复扣费？</t>
        </is>
      </c>
      <c r="G41" s="26" t="inlineStr">
        <is>
          <t>选择既有超时重试请求，或在测试环境受控触发超时。</t>
        </is>
      </c>
      <c r="H41" s="26" t="inlineStr">
        <is>
          <t>Attempt、预占释放、实际用量、Ledger 和单一 Settlement。</t>
        </is>
      </c>
      <c r="I41" s="26" t="inlineStr">
        <is>
          <t>实际消耗逐 Attempt 记录；预占正确处理；没有请求级重复结算。</t>
        </is>
      </c>
      <c r="J41" s="27" t="inlineStr">
        <is>
          <t>用量账本 → 请求明细</t>
        </is>
      </c>
      <c r="K41" s="27" t="inlineStr">
        <is>
          <t>是</t>
        </is>
      </c>
      <c r="L41" s="27" t="inlineStr">
        <is>
          <t>不适用</t>
        </is>
      </c>
      <c r="M41" s="27" t="inlineStr">
        <is>
          <t>有</t>
        </is>
      </c>
      <c r="N41" s="27" t="inlineStr">
        <is>
          <t>是</t>
        </is>
      </c>
      <c r="O41" s="27" t="inlineStr">
        <is>
          <t>当前失败样本多为单 Attempt；未发现超时重试后多 Attempt 汇总样本。</t>
        </is>
      </c>
      <c r="P41" s="27" t="inlineStr">
        <is>
          <t>未测试</t>
        </is>
      </c>
      <c r="Q41" s="27" t="inlineStr">
        <is>
          <t>待确认</t>
        </is>
      </c>
      <c r="R41" s="27" t="inlineStr">
        <is>
          <t>未分级</t>
        </is>
      </c>
      <c r="S41" s="27" t="inlineStr"/>
      <c r="T41" s="27" t="inlineStr"/>
      <c r="U41" s="27" t="inlineStr"/>
      <c r="V41" s="60" t="inlineStr">
        <is>
          <t>2026-08-18</t>
        </is>
      </c>
      <c r="W41" s="27" t="inlineStr">
        <is>
          <t>未复测</t>
        </is>
      </c>
      <c r="X41" s="27" t="inlineStr">
        <is>
          <t>当前无法验证重试防重复结算。</t>
        </is>
      </c>
    </row>
    <row r="42" ht="70" customHeight="1">
      <c r="A42" s="33" t="inlineStr">
        <is>
          <t>MD-08</t>
        </is>
      </c>
      <c r="B42" s="34" t="inlineStr">
        <is>
          <t>计量和调度</t>
        </is>
      </c>
      <c r="C42" s="26" t="inlineStr">
        <is>
          <t>为什么这次放行、切换或拒绝？</t>
        </is>
      </c>
      <c r="D42" s="26" t="inlineStr">
        <is>
          <t>资源处于熔断状态</t>
        </is>
      </c>
      <c r="E42" s="26" t="inlineStr">
        <is>
          <t>历史事件/测试环境</t>
        </is>
      </c>
      <c r="F42" s="26" t="inlineStr">
        <is>
          <t>为什么它没有进入候选？</t>
        </is>
      </c>
      <c r="G42" s="26" t="inlineStr">
        <is>
          <t>查看熔断期间的一笔请求及对应熔断事件。</t>
        </is>
      </c>
      <c r="H42" s="26" t="inlineStr">
        <is>
          <t>候选排除、事件 ID、恢复时间、备用资源。</t>
        </is>
      </c>
      <c r="I42" s="26" t="inlineStr">
        <is>
          <t>熔断资源明确被排除；请求、事件和备用切换可关联。</t>
        </is>
      </c>
      <c r="J42" s="27" t="inlineStr">
        <is>
          <t>运行保障 → 熔断事件；用量账本 → 请求明细</t>
        </is>
      </c>
      <c r="K42" s="27" t="inlineStr">
        <is>
          <t>是</t>
        </is>
      </c>
      <c r="L42" s="27" t="inlineStr">
        <is>
          <t>不适用</t>
        </is>
      </c>
      <c r="M42" s="27" t="inlineStr">
        <is>
          <t>有</t>
        </is>
      </c>
      <c r="N42" s="27" t="inlineStr">
        <is>
          <t>是</t>
        </is>
      </c>
      <c r="O42" s="27" t="inlineStr">
        <is>
          <t>运行态势活跃熔断 0，熔断事件显示历史事件为空；无熔断阻断请求样本。</t>
        </is>
      </c>
      <c r="P42" s="27" t="inlineStr">
        <is>
          <t>未测试</t>
        </is>
      </c>
      <c r="Q42" s="27" t="inlineStr">
        <is>
          <t>待确认</t>
        </is>
      </c>
      <c r="R42" s="27" t="inlineStr">
        <is>
          <t>未分级</t>
        </is>
      </c>
      <c r="S42" s="27" t="inlineStr"/>
      <c r="T42" s="27" t="inlineStr">
        <is>
          <t>/var/folders/bd/x5tqktw96l5cw5r90mvnbty80000gp/T/codex-clipboard-682eb686-3ada-453f-86e4-f32ce43b2c9c.png</t>
        </is>
      </c>
      <c r="U42" s="27" t="inlineStr"/>
      <c r="V42" s="60" t="inlineStr">
        <is>
          <t>2026-08-18</t>
        </is>
      </c>
      <c r="W42" s="27" t="inlineStr">
        <is>
          <t>未复测</t>
        </is>
      </c>
      <c r="X42" s="27" t="inlineStr">
        <is>
          <t>当前无法验证熔断排除候选。</t>
        </is>
      </c>
    </row>
    <row r="43" ht="70" customHeight="1">
      <c r="A43" s="33" t="inlineStr">
        <is>
          <t>MD-09</t>
        </is>
      </c>
      <c r="B43" s="34" t="inlineStr">
        <is>
          <t>计量和调度</t>
        </is>
      </c>
      <c r="C43" s="26" t="inlineStr">
        <is>
          <t>为什么这次放行、切换或拒绝？</t>
        </is>
      </c>
      <c r="D43" s="26" t="inlineStr">
        <is>
          <t>并发请求抢最后额度</t>
        </is>
      </c>
      <c r="E43" s="26" t="inlineStr">
        <is>
          <t>测试环境并发</t>
        </is>
      </c>
      <c r="F43" s="26" t="inlineStr">
        <is>
          <t>会不会出现超卖或负额度？</t>
        </is>
      </c>
      <c r="G43" s="26" t="inlineStr">
        <is>
          <t>仅在测试环境对临界额度主体并发发起多笔请求。</t>
        </is>
      </c>
      <c r="H43" s="26" t="inlineStr">
        <is>
          <t>原子预占、允许数量、拒绝数量、余额、释放和结算。</t>
        </is>
      </c>
      <c r="I43" s="26" t="inlineStr">
        <is>
          <t>没有负额度、超卖、重复释放或重复结算；拒绝原因稳定。</t>
        </is>
      </c>
      <c r="J43" s="27" t="inlineStr">
        <is>
          <t>用量账本 → 请求明细 → 只看超额</t>
        </is>
      </c>
      <c r="K43" s="27" t="inlineStr">
        <is>
          <t>是</t>
        </is>
      </c>
      <c r="L43" s="27" t="inlineStr">
        <is>
          <t>不适用</t>
        </is>
      </c>
      <c r="M43" s="27" t="inlineStr">
        <is>
          <t>有</t>
        </is>
      </c>
      <c r="N43" s="27" t="inlineStr">
        <is>
          <t>是</t>
        </is>
      </c>
      <c r="O43" s="27" t="inlineStr">
        <is>
          <t>只看超额返回 625 条；抽查请求输入 417,186、输出 116、扣减 417,302、成功、Attempt 1、SETTLED，无负额度；但无法证明并发抢最后额度。</t>
        </is>
      </c>
      <c r="P43" s="27" t="inlineStr">
        <is>
          <t>未测试</t>
        </is>
      </c>
      <c r="Q43" s="27" t="inlineStr">
        <is>
          <t>待确认</t>
        </is>
      </c>
      <c r="R43" s="27" t="inlineStr">
        <is>
          <t>未分级</t>
        </is>
      </c>
      <c r="S43" s="27" t="inlineStr"/>
      <c r="T43" s="27" t="inlineStr"/>
      <c r="U43" s="27" t="inlineStr"/>
      <c r="V43" s="60" t="inlineStr">
        <is>
          <t>2026-08-18</t>
        </is>
      </c>
      <c r="W43" s="27" t="inlineStr">
        <is>
          <t>未复测</t>
        </is>
      </c>
      <c r="X43" s="27" t="inlineStr">
        <is>
          <t>超额处理有样本，并发竞争尚无证据。</t>
        </is>
      </c>
    </row>
    <row r="44" ht="70" customHeight="1">
      <c r="A44" s="33" t="inlineStr">
        <is>
          <t>MD-10</t>
        </is>
      </c>
      <c r="B44" s="34" t="inlineStr">
        <is>
          <t>计量和调度</t>
        </is>
      </c>
      <c r="C44" s="26" t="inlineStr">
        <is>
          <t>为什么这次放行、切换或拒绝？</t>
        </is>
      </c>
      <c r="D44" s="26" t="inlineStr">
        <is>
          <t>单次请求完整追责</t>
        </is>
      </c>
      <c r="E44" s="26" t="inlineStr">
        <is>
          <t>请求下钻</t>
        </is>
      </c>
      <c r="F44" s="26" t="inlineStr">
        <is>
          <t>能否完整解释这次请求？</t>
        </is>
      </c>
      <c r="G44" s="26" t="inlineStr">
        <is>
          <t>随机选择一笔成功和一笔失败请求，从请求 ID 逐层下钻。</t>
        </is>
      </c>
      <c r="H44" s="26" t="inlineStr">
        <is>
          <t>主体/Key→授权→额度→候选→调度→Attempt→Usage→Ledger→Settlement。</t>
        </is>
      </c>
      <c r="I44" s="26" t="inlineStr">
        <is>
          <t>证据链完整、字段可关联、历史规则版本不被后来变更覆盖。</t>
        </is>
      </c>
      <c r="J44" s="27" t="inlineStr">
        <is>
          <t>用量账本 → 请求明细 → 请求展开</t>
        </is>
      </c>
      <c r="K44" s="27" t="inlineStr">
        <is>
          <t>是</t>
        </is>
      </c>
      <c r="L44" s="27" t="inlineStr">
        <is>
          <t>部分</t>
        </is>
      </c>
      <c r="M44" s="27" t="inlineStr">
        <is>
          <t>有</t>
        </is>
      </c>
      <c r="N44" s="27" t="inlineStr">
        <is>
          <t>是</t>
        </is>
      </c>
      <c r="O44" s="27" t="inlineStr">
        <is>
          <t>请求详情包含请求、结算、路由候选、上游 Attempt、调度决策和计价证据；调度输入原始 JSON 溢出，计价规则未独立展示。</t>
        </is>
      </c>
      <c r="P44" s="27" t="inlineStr">
        <is>
          <t>解释缺口</t>
        </is>
      </c>
      <c r="Q44" s="27" t="inlineStr">
        <is>
          <t>待确认</t>
        </is>
      </c>
      <c r="R44" s="27" t="inlineStr">
        <is>
          <t>P1</t>
        </is>
      </c>
      <c r="S44" s="27" t="inlineStr"/>
      <c r="T44" s="27" t="inlineStr">
        <is>
          <t>/var/folders/bd/x5tqktw96l5cw5r90mvnbty80000gp/T/codex-clipboard-d1bd2179-61b6-49de-a1fd-51bf56d28d37.png</t>
        </is>
      </c>
      <c r="U44" s="27" t="inlineStr"/>
      <c r="V44" s="60" t="inlineStr">
        <is>
          <t>2026-08-18</t>
        </is>
      </c>
      <c r="W44" s="27" t="inlineStr">
        <is>
          <t>未复测</t>
        </is>
      </c>
      <c r="X44" s="27" t="inlineStr">
        <is>
          <t>POOL20-031/032：计价决策和调度输入展示需重排。</t>
        </is>
      </c>
    </row>
  </sheetData>
  <autoFilter ref="A4:X44"/>
  <mergeCells count="3">
    <mergeCell ref="A3:X3"/>
    <mergeCell ref="A2:X2"/>
    <mergeCell ref="A1:X1"/>
  </mergeCells>
  <conditionalFormatting sqref="K5:K44">
    <cfRule type="expression" priority="1" dxfId="0">
      <formula>K5="通过"</formula>
    </cfRule>
    <cfRule type="expression" priority="2" dxfId="1">
      <formula>OR(K5="不通过",K5="严重错误",K5="P0")</formula>
    </cfRule>
    <cfRule type="expression" priority="3" dxfId="2">
      <formula>OR(K5="阻塞",K5="待确认",K5="部分",K5="疑似演示",K5="P1")</formula>
    </cfRule>
  </conditionalFormatting>
  <conditionalFormatting sqref="L5:L44">
    <cfRule type="expression" priority="4" dxfId="0">
      <formula>L5="通过"</formula>
    </cfRule>
    <cfRule type="expression" priority="5" dxfId="1">
      <formula>OR(L5="不通过",L5="严重错误",L5="P0")</formula>
    </cfRule>
    <cfRule type="expression" priority="6" dxfId="2">
      <formula>OR(L5="阻塞",L5="待确认",L5="部分",L5="疑似演示",L5="P1")</formula>
    </cfRule>
  </conditionalFormatting>
  <conditionalFormatting sqref="M5:M44">
    <cfRule type="expression" priority="7" dxfId="0">
      <formula>M5="通过"</formula>
    </cfRule>
    <cfRule type="expression" priority="8" dxfId="1">
      <formula>OR(M5="不通过",M5="严重错误",M5="P0")</formula>
    </cfRule>
    <cfRule type="expression" priority="9" dxfId="2">
      <formula>OR(M5="阻塞",M5="待确认",M5="部分",M5="疑似演示",M5="P1")</formula>
    </cfRule>
  </conditionalFormatting>
  <conditionalFormatting sqref="N5:N44">
    <cfRule type="expression" priority="10" dxfId="0">
      <formula>N5="通过"</formula>
    </cfRule>
    <cfRule type="expression" priority="11" dxfId="1">
      <formula>OR(N5="不通过",N5="严重错误",N5="P0")</formula>
    </cfRule>
    <cfRule type="expression" priority="12" dxfId="2">
      <formula>OR(N5="阻塞",N5="待确认",N5="部分",N5="疑似演示",N5="P1")</formula>
    </cfRule>
  </conditionalFormatting>
  <conditionalFormatting sqref="P5:P44">
    <cfRule type="expression" priority="13" dxfId="0">
      <formula>P5="通过"</formula>
    </cfRule>
    <cfRule type="expression" priority="14" dxfId="1">
      <formula>OR(P5="不通过",P5="严重错误",P5="P0")</formula>
    </cfRule>
    <cfRule type="expression" priority="15" dxfId="2">
      <formula>OR(P5="阻塞",P5="待确认",P5="部分",P5="疑似演示",P5="P1")</formula>
    </cfRule>
  </conditionalFormatting>
  <conditionalFormatting sqref="Q5:Q44">
    <cfRule type="expression" priority="16" dxfId="0">
      <formula>Q5="通过"</formula>
    </cfRule>
    <cfRule type="expression" priority="17" dxfId="1">
      <formula>OR(Q5="不通过",Q5="严重错误",Q5="P0")</formula>
    </cfRule>
    <cfRule type="expression" priority="18" dxfId="2">
      <formula>OR(Q5="阻塞",Q5="待确认",Q5="部分",Q5="疑似演示",Q5="P1")</formula>
    </cfRule>
  </conditionalFormatting>
  <conditionalFormatting sqref="R5:R44">
    <cfRule type="expression" priority="19" dxfId="0">
      <formula>R5="通过"</formula>
    </cfRule>
    <cfRule type="expression" priority="20" dxfId="1">
      <formula>OR(R5="不通过",R5="严重错误",R5="P0")</formula>
    </cfRule>
    <cfRule type="expression" priority="21" dxfId="2">
      <formula>OR(R5="阻塞",R5="待确认",R5="部分",R5="疑似演示",R5="P1")</formula>
    </cfRule>
  </conditionalFormatting>
  <conditionalFormatting sqref="W5:W44">
    <cfRule type="expression" priority="22" dxfId="0">
      <formula>W5="通过"</formula>
    </cfRule>
    <cfRule type="expression" priority="23" dxfId="1">
      <formula>OR(W5="不通过",W5="严重错误",W5="P0")</formula>
    </cfRule>
    <cfRule type="expression" priority="24" dxfId="2">
      <formula>OR(W5="阻塞",W5="待确认",W5="部分",W5="疑似演示",W5="P1")</formula>
    </cfRule>
  </conditionalFormatting>
  <dataValidations count="8">
    <dataValidation sqref="K5:K44" showDropDown="0" showInputMessage="0" showErrorMessage="0" allowBlank="0" errorTitle="值不合法" error="请选择下拉列表中的值" promptTitle="测试回填" prompt="请选择状态" type="list">
      <formula1>"未测试,是,部分,否"</formula1>
    </dataValidation>
    <dataValidation sqref="L5:L44" showDropDown="0" showInputMessage="0" showErrorMessage="0" allowBlank="0" errorTitle="值不合法" error="请选择下拉列表中的值" promptTitle="测试回填" prompt="请选择状态" type="list">
      <formula1>"未测试,是,部分,否,不适用"</formula1>
    </dataValidation>
    <dataValidation sqref="M5:M44" showDropDown="0" showInputMessage="0" showErrorMessage="0" allowBlank="0" errorTitle="值不合法" error="请选择下拉列表中的值" promptTitle="测试回填" prompt="请选择状态" type="list">
      <formula1>"未测试,有,部分,无,不适用"</formula1>
    </dataValidation>
    <dataValidation sqref="N5:N44" showDropDown="0" showInputMessage="0" showErrorMessage="0" allowBlank="0" errorTitle="值不合法" error="请选择下拉列表中的值" promptTitle="测试回填" prompt="请选择状态" type="list">
      <formula1>"未测试,是,疑似演示,否,无法判断"</formula1>
    </dataValidation>
    <dataValidation sqref="P5:P44" showDropDown="0" showInputMessage="0" showErrorMessage="0" allowBlank="0" errorTitle="值不合法" error="请选择下拉列表中的值" promptTitle="测试回填" prompt="请选择状态" type="list">
      <formula1>"未测试,通过,数据缺口,解释缺口,闭环缺口,口径错误,严重错误"</formula1>
    </dataValidation>
    <dataValidation sqref="Q5:Q44" showDropDown="0" showInputMessage="0" showErrorMessage="0" allowBlank="0" errorTitle="值不合法" error="请选择下拉列表中的值" promptTitle="测试回填" prompt="请选择状态" type="list">
      <formula1>"未测试,通过,不通过,阻塞,待确认"</formula1>
    </dataValidation>
    <dataValidation sqref="R5:R44" showDropDown="0" showInputMessage="0" showErrorMessage="0" allowBlank="0" errorTitle="值不合法" error="请选择下拉列表中的值" promptTitle="测试回填" prompt="请选择状态" type="list">
      <formula1>"未分级,P0,P1,P2,P3"</formula1>
    </dataValidation>
    <dataValidation sqref="W5:W44" showDropDown="0" showInputMessage="0" showErrorMessage="0" allowBlank="0" errorTitle="值不合法" error="请选择下拉列表中的值" promptTitle="测试回填" prompt="请选择状态" type="list">
      <formula1>"未复测,通过,不通过,不适用"</formula1>
    </dataValidation>
  </dataValidations>
  <pageMargins left="0.25" right="0.25" top="0.35" bottom="0.35" header="0.1" footer="0.1"/>
  <pageSetup orientation="landscape" paperSize="8" fitToHeight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0" workbookViewId="0">
      <pane ySplit="4" topLeftCell="A5" activePane="bottomLeft" state="frozen"/>
      <selection activeCell="A1" sqref="A1"/>
      <selection pane="bottomLeft" activeCell="A1" sqref="A1:F1"/>
    </sheetView>
  </sheetViews>
  <sheetFormatPr baseColWidth="8" defaultColWidth="9" defaultRowHeight="16.8"/>
  <cols>
    <col width="18" customWidth="1" min="1" max="1"/>
    <col width="28" customWidth="1" min="2" max="2"/>
    <col width="46" customWidth="1" min="3" max="3"/>
    <col width="10" customWidth="1" min="4" max="4"/>
    <col width="16" customWidth="1" min="5" max="5"/>
    <col width="34" customWidth="1" min="6" max="6"/>
  </cols>
  <sheetData>
    <row r="1" ht="40" customHeight="1">
      <c r="A1" s="1" t="inlineStr">
        <is>
          <t>测试说明与判定口径</t>
        </is>
      </c>
    </row>
    <row r="3">
      <c r="A3" s="59" t="inlineStr">
        <is>
          <t>本表只按已部署的仟流智算 2.0 页面、菜单和真实数据测试。每个场景都按：当前事实 → 发生原因 → 系统动作 → 执行结果 → 下钻证据 进行检查。</t>
        </is>
      </c>
    </row>
    <row r="5">
      <c r="A5" s="3" t="inlineStr">
        <is>
          <t>核心逻辑</t>
        </is>
      </c>
      <c r="B5" s="3" t="inlineStr">
        <is>
          <t>客户核心问题</t>
        </is>
      </c>
      <c r="C5" s="3" t="inlineStr">
        <is>
          <t>重点关注</t>
        </is>
      </c>
      <c r="D5" s="3" t="inlineStr">
        <is>
          <t>场景数</t>
        </is>
      </c>
      <c r="E5" s="3" t="inlineStr">
        <is>
          <t>编号范围</t>
        </is>
      </c>
      <c r="F5" s="3" t="inlineStr">
        <is>
          <t>说明</t>
        </is>
      </c>
    </row>
    <row r="6" ht="54" customHeight="1">
      <c r="A6" s="4" t="inlineStr">
        <is>
          <t>持续生产</t>
        </is>
      </c>
      <c r="B6" s="5" t="inlineStr">
        <is>
          <t>现在还能不能用？还能用多久？</t>
        </is>
      </c>
      <c r="C6" s="5" t="inlineStr">
        <is>
          <t>可用性、供给余量、消耗速度、耗尽预测、恢复时间、数据新鲜度</t>
        </is>
      </c>
      <c r="D6" s="5" t="n">
        <v>10</v>
      </c>
      <c r="E6" s="5" t="inlineStr">
        <is>
          <t>CP-01～CP-10</t>
        </is>
      </c>
      <c r="F6" s="5" t="inlineStr">
        <is>
          <t>回答资源能否持续供给。</t>
        </is>
      </c>
    </row>
    <row r="7" ht="54" customHeight="1">
      <c r="A7" s="6" t="inlineStr">
        <is>
          <t>按量消耗</t>
        </is>
      </c>
      <c r="B7" s="7" t="inlineStr">
        <is>
          <t>谁用了？用了多少？用在哪里？</t>
        </is>
      </c>
      <c r="C7" s="7" t="inlineStr">
        <is>
          <t>主体归属、请求/Token/费用、员工/项目/部门守恒、历史不可变</t>
        </is>
      </c>
      <c r="D7" s="7" t="n">
        <v>10</v>
      </c>
      <c r="E7" s="7" t="inlineStr">
        <is>
          <t>UC-01～UC-10</t>
        </is>
      </c>
      <c r="F7" s="7" t="inlineStr">
        <is>
          <t>回答成本和责任归属。</t>
        </is>
      </c>
    </row>
    <row r="8" ht="54" customHeight="1">
      <c r="A8" s="8" t="inlineStr">
        <is>
          <t>峰谷差异</t>
        </is>
      </c>
      <c r="B8" s="9" t="inlineStr">
        <is>
          <t>什么时候使用更划算？</t>
        </is>
      </c>
      <c r="C8" s="9" t="inlineStr">
        <is>
          <t>时间规则、倍率版本、真实节省、机会成本、套餐窗口</t>
        </is>
      </c>
      <c r="D8" s="9" t="n">
        <v>10</v>
      </c>
      <c r="E8" s="9" t="inlineStr">
        <is>
          <t>PV-01～PV-10</t>
        </is>
      </c>
      <c r="F8" s="9" t="inlineStr">
        <is>
          <t>回答使用时机和经济性。</t>
        </is>
      </c>
    </row>
    <row r="9" ht="54" customHeight="1">
      <c r="A9" s="10" t="inlineStr">
        <is>
          <t>计量和调度</t>
        </is>
      </c>
      <c r="B9" s="11" t="inlineStr">
        <is>
          <t>为什么放行、切换或拒绝？</t>
        </is>
      </c>
      <c r="C9" s="11" t="inlineStr">
        <is>
          <t>门禁、候选集、调度策略、Attempt、Usage、Ledger、Settlement</t>
        </is>
      </c>
      <c r="D9" s="11" t="n">
        <v>10</v>
      </c>
      <c r="E9" s="11" t="inlineStr">
        <is>
          <t>MD-01～MD-10</t>
        </is>
      </c>
      <c r="F9" s="11" t="inlineStr">
        <is>
          <t>回答每次决策的完整证据链。</t>
        </is>
      </c>
    </row>
    <row r="12" ht="18.4" customHeight="1">
      <c r="A12" s="12" t="inlineStr">
        <is>
          <t>问题类型</t>
        </is>
      </c>
    </row>
    <row r="13" ht="34" customHeight="1">
      <c r="A13" s="13" t="inlineStr">
        <is>
          <t>通过</t>
        </is>
      </c>
      <c r="B13" s="14" t="inlineStr">
        <is>
          <t>事实、原因、动作和证据全部闭环。</t>
        </is>
      </c>
      <c r="C13" s="15" t="n"/>
      <c r="D13" s="15" t="n"/>
      <c r="E13" s="15" t="n"/>
      <c r="F13" s="16" t="n"/>
    </row>
    <row r="14" ht="34" customHeight="1">
      <c r="A14" s="13" t="inlineStr">
        <is>
          <t>数据缺口</t>
        </is>
      </c>
      <c r="B14" s="14" t="inlineStr">
        <is>
          <t>页面存在，但数据未知、过期、不可计算或没有真实内容。</t>
        </is>
      </c>
      <c r="C14" s="15" t="n"/>
      <c r="D14" s="15" t="n"/>
      <c r="E14" s="15" t="n"/>
      <c r="F14" s="16" t="n"/>
    </row>
    <row r="15" ht="34" customHeight="1">
      <c r="A15" s="13" t="inlineStr">
        <is>
          <t>解释缺口</t>
        </is>
      </c>
      <c r="B15" s="14" t="inlineStr">
        <is>
          <t>结果可能正确，但无法解释为什么放行、切换、拒绝、扣费或归集。</t>
        </is>
      </c>
      <c r="C15" s="15" t="n"/>
      <c r="D15" s="15" t="n"/>
      <c r="E15" s="15" t="n"/>
      <c r="F15" s="16" t="n"/>
    </row>
    <row r="16" ht="34" customHeight="1">
      <c r="A16" s="13" t="inlineStr">
        <is>
          <t>闭环缺口</t>
        </is>
      </c>
      <c r="B16" s="14" t="inlineStr">
        <is>
          <t>能发现问题，但没有恢复、调整、处理或下钻入口。</t>
        </is>
      </c>
      <c r="C16" s="15" t="n"/>
      <c r="D16" s="15" t="n"/>
      <c r="E16" s="15" t="n"/>
      <c r="F16" s="16" t="n"/>
    </row>
    <row r="17" ht="34" customHeight="1">
      <c r="A17" s="13" t="inlineStr">
        <is>
          <t>口径错误</t>
        </is>
      </c>
      <c r="B17" s="14" t="inlineStr">
        <is>
          <t>页面间数字不一致、Token 重复、成本重复归集或时间边界错误。</t>
        </is>
      </c>
      <c r="C17" s="15" t="n"/>
      <c r="D17" s="15" t="n"/>
      <c r="E17" s="15" t="n"/>
      <c r="F17" s="16" t="n"/>
    </row>
    <row r="18" ht="34" customHeight="1">
      <c r="A18" s="17" t="inlineStr">
        <is>
          <t>严重错误</t>
        </is>
      </c>
      <c r="B18" s="18" t="inlineStr">
        <is>
          <t>错误放行、重复扣费、负额度、历史账改写、不可用资源仍显示正常。</t>
        </is>
      </c>
      <c r="C18" s="15" t="n"/>
      <c r="D18" s="15" t="n"/>
      <c r="E18" s="15" t="n"/>
      <c r="F18" s="16" t="n"/>
    </row>
    <row r="21" ht="18.4" customHeight="1">
      <c r="A21" s="12" t="inlineStr">
        <is>
          <t>建议测试顺序</t>
        </is>
      </c>
    </row>
    <row r="22" ht="28" customHeight="1">
      <c r="A22" s="19" t="inlineStr">
        <is>
          <t>1. 先做页面观察和数据对账，不制造故障。</t>
        </is>
      </c>
    </row>
    <row r="23" ht="28" customHeight="1">
      <c r="A23" s="19" t="inlineStr">
        <is>
          <t>2. 再用专用测试主体执行真实请求、门禁、额度和路由测试。</t>
        </is>
      </c>
    </row>
    <row r="24" ht="28" customHeight="1">
      <c r="A24" s="19" t="inlineStr">
        <is>
          <t>3. 熔断、凭证失效、超时和并发场景只在测试环境或通过历史事件核验。</t>
        </is>
      </c>
    </row>
    <row r="25" ht="28" customHeight="1">
      <c r="A25" s="19" t="inlineStr">
        <is>
          <t>4. 每个“不通过/阻塞”必须附问题描述和截图/Evidence；P0/P1 优先复测。</t>
        </is>
      </c>
    </row>
    <row r="28" ht="18.4" customHeight="1">
      <c r="A28" s="12" t="inlineStr">
        <is>
          <t>依据文件</t>
        </is>
      </c>
    </row>
    <row r="29" ht="17.6" customHeight="1">
      <c r="A29" t="inlineStr">
        <is>
          <t>仟流智算 2.0 PRD</t>
        </is>
      </c>
      <c r="B29" s="20" t="inlineStr">
        <is>
          <t>/Users/mac/Projects/仟流智算/V4/仟流智算-产品需求文档-v2.0.md</t>
        </is>
      </c>
    </row>
    <row r="30" ht="17.6" customHeight="1">
      <c r="A30" t="inlineStr">
        <is>
          <t>仟流智算 2.0 TRD</t>
        </is>
      </c>
      <c r="B30" s="20" t="inlineStr">
        <is>
          <t>/Users/mac/Projects/仟流智算/V4/仟流智算-技术需求文档-v2.0.md</t>
        </is>
      </c>
    </row>
  </sheetData>
  <mergeCells count="14">
    <mergeCell ref="A24:F24"/>
    <mergeCell ref="B30:F30"/>
    <mergeCell ref="B29:F29"/>
    <mergeCell ref="B16:F16"/>
    <mergeCell ref="B15:F15"/>
    <mergeCell ref="A1:F1"/>
    <mergeCell ref="A23:F23"/>
    <mergeCell ref="A22:F22"/>
    <mergeCell ref="B14:F14"/>
    <mergeCell ref="A3:F3"/>
    <mergeCell ref="B17:F17"/>
    <mergeCell ref="B18:F18"/>
    <mergeCell ref="B13:F13"/>
    <mergeCell ref="A25:F25"/>
  </mergeCells>
  <hyperlinks>
    <hyperlink xmlns:r="http://schemas.openxmlformats.org/officeDocument/2006/relationships" ref="B29" display="/Users/mac/Projects/仟流智算/V4/仟流智算-产品需求文档-v2.0.md" r:id="rId1"/>
    <hyperlink xmlns:r="http://schemas.openxmlformats.org/officeDocument/2006/relationships" ref="B30" display="/Users/mac/Projects/仟流智算/V4/仟流智算-技术需求文档-v2.0.md" r:id="rId2"/>
  </hyperlinks>
  <pageMargins left="0.25" right="0.25" top="0.35" bottom="0.35" header="0.1" footer="0.1"/>
  <pageSetup orientation="landscape" paperSize="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仟流智算 2.0 四大核心逻辑场景测试表</dc:title>
  <dc:subject xmlns:dc="http://purl.org/dc/elements/1.1/">持续生产、按量消耗、峰谷差异、计量和调度，共40个部署后查验场景</dc:subject>
  <dcterms:created xmlns:dcterms="http://purl.org/dc/terms/" xmlns:xsi="http://www.w3.org/2001/XMLSchema-instance" xsi:type="dcterms:W3CDTF">2026-08-18T17:31:00Z</dcterms:created>
  <dcterms:modified xmlns:dcterms="http://purl.org/dc/terms/" xmlns:xsi="http://www.w3.org/2001/XMLSchema-instance" xsi:type="dcterms:W3CDTF">2026-08-18T13:34:02Z</dcterms:modified>
  <cp:lastModifiedBy>stephen</cp:lastModifiedBy>
  <cp:keywords>仟流智算,2.0,验收,测试,AI算力</cp:keywords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A2A5663957EE430BF629846ABD249560_42</vt:lpwstr>
  </property>
  <property name="KSOProductBuildVer" fmtid="{D5CDD505-2E9C-101B-9397-08002B2CF9AE}" pid="3">
    <vt:lpwstr xmlns:vt="http://schemas.openxmlformats.org/officeDocument/2006/docPropsVTypes">2052-12.1.26055.26055</vt:lpwstr>
  </property>
  <property name="CalculationRule" fmtid="{D5CDD505-2E9C-101B-9397-08002B2CF9AE}" pid="4">
    <vt:i4 xmlns:vt="http://schemas.openxmlformats.org/officeDocument/2006/docPropsVTypes">0</vt:i4>
  </property>
</Properties>
</file>